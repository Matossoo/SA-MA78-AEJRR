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</sheets>
  <definedNames/>
  <calcPr/>
</workbook>
</file>

<file path=xl/sharedStrings.xml><?xml version="1.0" encoding="utf-8"?>
<sst xmlns="http://schemas.openxmlformats.org/spreadsheetml/2006/main" count="121" uniqueCount="56">
  <si>
    <t>Allianza Immobiliare</t>
  </si>
  <si>
    <t>PROJETO</t>
  </si>
  <si>
    <t>ATUALIZAÇÃO</t>
  </si>
  <si>
    <t>RISCOS</t>
  </si>
  <si>
    <t>CATEGORIA</t>
  </si>
  <si>
    <t>PROB</t>
  </si>
  <si>
    <t>CUSTO</t>
  </si>
  <si>
    <t>Tempo</t>
  </si>
  <si>
    <t>Performance</t>
  </si>
  <si>
    <t>Anum</t>
  </si>
  <si>
    <t>Cnum</t>
  </si>
  <si>
    <t>Tnum</t>
  </si>
  <si>
    <t>Pnum</t>
  </si>
  <si>
    <t>Impact</t>
  </si>
  <si>
    <t>Impacto geral</t>
  </si>
  <si>
    <t>Sorting Column</t>
  </si>
  <si>
    <t>MÉDIA</t>
  </si>
  <si>
    <t>RESPOSTA</t>
  </si>
  <si>
    <t>Efeitos secundários</t>
  </si>
  <si>
    <t>RESPONSÁVEL</t>
  </si>
  <si>
    <t>DATA DA AÇÃO</t>
  </si>
  <si>
    <t>Falha na integração com o banco de dados (Aiven)</t>
  </si>
  <si>
    <t>Risco</t>
  </si>
  <si>
    <t>M</t>
  </si>
  <si>
    <t>H</t>
  </si>
  <si>
    <t>Verificar sempre se o banco de dados está online e criar um aviso automático caso ele caia ou fique lento.</t>
  </si>
  <si>
    <t>O site pode ficar um pouco mais lento por causa dessa verificação extra.</t>
  </si>
  <si>
    <t>A definir</t>
  </si>
  <si>
    <t>Vazamento de dados sensíveis de clientes e proprietários</t>
  </si>
  <si>
    <t>L</t>
  </si>
  <si>
    <t>Guardar os dados de clientes e proprietários de forma protegida e garantir que só quem tem permissão veja essas informações.</t>
  </si>
  <si>
    <t>Vai demorar um pouco mais para desenvolver essa parte de segurança.</t>
  </si>
  <si>
    <t>Falha de autenticação/autorização entre os portais (corretor, gestão, cliente)</t>
  </si>
  <si>
    <t>Definir bem o que cada tipo de usuário (corretor, gestão, cliente) pode ver e fazer no site, e testar isso antes de lançar.</t>
  </si>
  <si>
    <t>Se mudar as regras de permissão depois, pode ser preciso refazer parte do trabalho.</t>
  </si>
  <si>
    <t>Indisponibilidade da hospedagem (Render, cold start em plano gratuito)</t>
  </si>
  <si>
    <t>Escolher um plano de hospedagem que mantenha o site sempre ligado e acompanhar se ele está no ar.</t>
  </si>
  <si>
    <t>Pode ter um custo a mais se precisarmos de um plano pago.</t>
  </si>
  <si>
    <t>Escopo mal definido ou mudanças de requisitos durante o desenvolvimento</t>
  </si>
  <si>
    <t>Anotar bem o que o site precisa fazer antes de começar a construir, e ir mostrando partes prontas aos poucos para o cliente aprovar.</t>
  </si>
  <si>
    <t>Pode levar um tempo extra no início só para deixar tudo bem definido.</t>
  </si>
  <si>
    <t>Inconsistência de dados entre os portais e o banco (falhas de sincronização)</t>
  </si>
  <si>
    <t>Fazer testes para garantir que as informações mostradas no site sempre batem com o que está salvo no banco de dados.</t>
  </si>
  <si>
    <t>Vai levar um tempo a mais para criar e revisar esses testes.</t>
  </si>
  <si>
    <t>Baixa performance com grande volume de imóveis e fotos</t>
  </si>
  <si>
    <t>Organizar a exibição dos imóveis em páginas e deixar as fotos mais leves, para o site não ficar lento.</t>
  </si>
  <si>
    <t>Um pouco mais de trabalho para deixar as fotos e as páginas otimizadas.</t>
  </si>
  <si>
    <t>Falta de testes automatizados resultando em bugs em produção</t>
  </si>
  <si>
    <t>Testar bem o site antes de cada atualização, revisando se tudo continua funcionando direito.</t>
  </si>
  <si>
    <t>Vai levar um tempo a mais fazendo essas revisões.</t>
  </si>
  <si>
    <t>Dependência de uma única pessoa no desenvolvimento (bus factor)</t>
  </si>
  <si>
    <t>Deixar tudo bem anotado e organizado (o código e as decisões do projeto), para não depender de uma única pessoa saber tudo.</t>
  </si>
  <si>
    <t>Tempo gasto escrevendo essas anotações é tempo a menos codificando.</t>
  </si>
  <si>
    <t>Erro na validação de dados de formulários (cadastro de imóveis, contratos, pagamentos)</t>
  </si>
  <si>
    <t>Conferir se os dados digitados nos formulários (cadastro de imóveis, contratos, pagamentos) estão certos antes de salvar.</t>
  </si>
  <si>
    <t>Um pouco mais de trabalho para criar essas conferências.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</si>
</sst>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/mm/yyyy"/>
  </numFmts>
  <fonts count="15">
    <font>
      <sz val="11.0"/>
      <color theme="1"/>
      <name val="Calibri"/>
      <scheme val="minor"/>
    </font>
    <font>
      <b/>
      <sz val="16.0"/>
      <color rgb="FFEB6D0B"/>
      <name val="Arial"/>
    </font>
    <font>
      <b/>
      <sz val="10.0"/>
      <color rgb="FFFFFFFF"/>
      <name val="Arial"/>
    </font>
    <font>
      <sz val="8.0"/>
      <color rgb="FFFFFFFF"/>
      <name val="Arial"/>
    </font>
    <font>
      <b/>
      <sz val="12.0"/>
      <color rgb="FFFFFFFF"/>
      <name val="Arial"/>
    </font>
    <font>
      <sz val="10.0"/>
      <color theme="1"/>
      <name val="Arial"/>
    </font>
    <font/>
    <font>
      <b/>
      <sz val="16.0"/>
      <color rgb="FF00FF00"/>
      <name val="Arial"/>
    </font>
    <font>
      <sz val="6.0"/>
      <color rgb="FFFFFFFF"/>
      <name val="Arial"/>
    </font>
    <font>
      <sz val="10.0"/>
      <color rgb="FFFFFFFF"/>
      <name val="Arial"/>
    </font>
    <font>
      <b/>
      <sz val="8.0"/>
      <color rgb="FF000000"/>
      <name val="Arial"/>
    </font>
    <font>
      <b/>
      <sz val="10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theme="0"/>
      </bottom>
    </border>
    <border>
      <left/>
      <top style="thin">
        <color theme="0"/>
      </top>
      <bottom style="thin">
        <color rgb="FF000000"/>
      </bottom>
    </border>
    <border>
      <top style="thin">
        <color theme="0"/>
      </top>
      <bottom style="thin">
        <color rgb="FF000000"/>
      </bottom>
    </border>
    <border>
      <right style="thin">
        <color theme="0"/>
      </right>
      <top style="thin">
        <color theme="0"/>
      </top>
      <bottom style="thin">
        <color rgb="FF000000"/>
      </bottom>
    </border>
    <border>
      <left style="thin">
        <color theme="0"/>
      </left>
      <top style="thin">
        <color theme="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top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right"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1" fillId="2" fontId="4" numFmtId="0" xfId="0" applyAlignment="1" applyBorder="1" applyFont="1">
      <alignment horizontal="right" shrinkToFit="0" vertical="top" wrapText="0"/>
    </xf>
    <xf borderId="2" fillId="2" fontId="4" numFmtId="0" xfId="0" applyAlignment="1" applyBorder="1" applyFont="1">
      <alignment horizontal="center" shrinkToFit="0" vertical="top" wrapText="0"/>
    </xf>
    <xf borderId="3" fillId="0" fontId="6" numFmtId="0" xfId="0" applyBorder="1" applyFont="1"/>
    <xf borderId="4" fillId="0" fontId="6" numFmtId="0" xfId="0" applyBorder="1" applyFont="1"/>
    <xf borderId="1" fillId="2" fontId="5" numFmtId="0" xfId="0" applyAlignment="1" applyBorder="1" applyFon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center" wrapText="0"/>
    </xf>
    <xf borderId="5" fillId="2" fontId="1" numFmtId="0" xfId="0" applyAlignment="1" applyBorder="1" applyFont="1">
      <alignment shrinkToFit="0" vertical="center" wrapText="0"/>
    </xf>
    <xf borderId="5" fillId="2" fontId="1" numFmtId="0" xfId="0" applyAlignment="1" applyBorder="1" applyFont="1">
      <alignment shrinkToFit="0" vertical="center" wrapText="1"/>
    </xf>
    <xf borderId="1" fillId="2" fontId="8" numFmtId="9" xfId="0" applyAlignment="1" applyBorder="1" applyFont="1" applyNumberFormat="1">
      <alignment horizontal="center" shrinkToFit="0" vertical="center" wrapText="0"/>
    </xf>
    <xf borderId="1" fillId="2" fontId="9" numFmtId="3" xfId="0" applyAlignment="1" applyBorder="1" applyFont="1" applyNumberFormat="1">
      <alignment horizontal="center" shrinkToFit="0" vertical="center" wrapText="0"/>
    </xf>
    <xf borderId="2" fillId="2" fontId="4" numFmtId="164" xfId="0" applyAlignment="1" applyBorder="1" applyFont="1" applyNumberFormat="1">
      <alignment horizontal="center" shrinkToFit="0" vertical="top" wrapText="0"/>
    </xf>
    <xf borderId="6" fillId="2" fontId="2" numFmtId="0" xfId="0" applyAlignment="1" applyBorder="1" applyFont="1">
      <alignment horizontal="center" shrinkToFit="0" vertical="center" wrapText="0"/>
    </xf>
    <xf borderId="7" fillId="0" fontId="6" numFmtId="0" xfId="0" applyBorder="1" applyFont="1"/>
    <xf borderId="8" fillId="0" fontId="6" numFmtId="0" xfId="0" applyBorder="1" applyFont="1"/>
    <xf borderId="9" fillId="2" fontId="2" numFmtId="0" xfId="0" applyAlignment="1" applyBorder="1" applyFont="1">
      <alignment horizontal="center" shrinkToFit="0" vertical="center" wrapText="0"/>
    </xf>
    <xf borderId="10" fillId="3" fontId="10" numFmtId="0" xfId="0" applyAlignment="1" applyBorder="1" applyFill="1" applyFont="1">
      <alignment horizontal="center" shrinkToFit="0" vertical="center" wrapText="1"/>
    </xf>
    <xf borderId="10" fillId="3" fontId="11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horizontal="center" shrinkToFit="0" vertical="center" wrapText="1"/>
    </xf>
    <xf borderId="12" fillId="3" fontId="11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3" fillId="0" fontId="12" numFmtId="165" xfId="0" applyAlignment="1" applyBorder="1" applyFont="1" applyNumberFormat="1">
      <alignment horizontal="center" shrinkToFit="0" vertical="center" wrapText="1"/>
    </xf>
    <xf borderId="13" fillId="0" fontId="12" numFmtId="0" xfId="0" applyAlignment="1" applyBorder="1" applyFont="1">
      <alignment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13" fillId="3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left" shrinkToFit="0" vertical="center" wrapText="1"/>
    </xf>
    <xf borderId="13" fillId="4" fontId="12" numFmtId="0" xfId="0" applyAlignment="1" applyBorder="1" applyFill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165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C3E2C"/>
          <bgColor rgb="FFEC3E2C"/>
        </patternFill>
      </fill>
      <border/>
    </dxf>
    <dxf>
      <font>
        <strike/>
        <color rgb="FFFFFFFF"/>
      </font>
      <fill>
        <patternFill patternType="solid">
          <fgColor rgb="FFEC3E2C"/>
          <bgColor rgb="FFEC3E2C"/>
        </patternFill>
      </fill>
      <border/>
    </dxf>
    <dxf>
      <font/>
      <fill>
        <patternFill patternType="solid">
          <fgColor rgb="FF15A60E"/>
          <bgColor rgb="FF15A60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1" width="21.43"/>
    <col customWidth="1" min="2" max="2" width="14.43"/>
    <col customWidth="1" min="3" max="3" width="35.43"/>
    <col customWidth="1" min="4" max="4" width="12.29"/>
    <col customWidth="1" min="5" max="5" width="12.14"/>
    <col customWidth="1" min="6" max="6" width="10.57"/>
    <col customWidth="1" min="7" max="7" width="11.43"/>
    <col customWidth="1" min="8" max="8" width="12.29"/>
    <col customWidth="1" hidden="1" min="9" max="9" width="8.43" outlineLevel="1"/>
    <col customWidth="1" hidden="1" min="10" max="10" width="7.29" outlineLevel="1"/>
    <col customWidth="1" hidden="1" min="11" max="12" width="7.0" outlineLevel="1"/>
    <col customWidth="1" hidden="1" min="13" max="13" width="8.0" outlineLevel="1"/>
    <col customWidth="1" min="14" max="14" width="16.71"/>
    <col customWidth="1" hidden="1" min="15" max="15" width="18.0"/>
    <col customWidth="1" min="16" max="16" width="12.43"/>
    <col customWidth="1" min="17" max="17" width="33.29"/>
    <col customWidth="1" min="18" max="18" width="21.0"/>
    <col customWidth="1" min="19" max="19" width="15.71"/>
    <col customWidth="1" min="20" max="20" width="13.43"/>
    <col customWidth="1" min="21" max="21" width="0.43"/>
  </cols>
  <sheetData>
    <row r="1" ht="12.75" customHeight="1">
      <c r="A1" s="1"/>
      <c r="B1" s="1"/>
      <c r="C1" s="2"/>
      <c r="D1" s="1"/>
      <c r="E1" s="3"/>
      <c r="F1" s="3"/>
      <c r="G1" s="3"/>
      <c r="H1" s="4"/>
      <c r="I1" s="5"/>
      <c r="J1" s="6"/>
      <c r="K1" s="7"/>
      <c r="L1" s="8"/>
      <c r="M1" s="7"/>
      <c r="N1" s="8"/>
      <c r="O1" s="8"/>
      <c r="P1" s="4"/>
      <c r="Q1" s="9"/>
      <c r="R1" s="10"/>
      <c r="S1" s="11"/>
      <c r="T1" s="12"/>
      <c r="U1" s="13"/>
    </row>
    <row r="2" ht="24.0" customHeight="1">
      <c r="A2" s="1"/>
      <c r="B2" s="1"/>
      <c r="C2" s="14" t="s">
        <v>0</v>
      </c>
      <c r="D2" s="11"/>
      <c r="E2" s="11"/>
      <c r="F2" s="11"/>
      <c r="G2" s="12"/>
      <c r="H2" s="4"/>
      <c r="I2" s="5"/>
      <c r="J2" s="6"/>
      <c r="K2" s="7"/>
      <c r="L2" s="8"/>
      <c r="M2" s="7"/>
      <c r="N2" s="8"/>
      <c r="O2" s="8"/>
      <c r="P2" s="4"/>
      <c r="Q2" s="9"/>
      <c r="R2" s="10"/>
      <c r="S2" s="11"/>
      <c r="T2" s="12"/>
      <c r="U2" s="13"/>
    </row>
    <row r="3" ht="10.5" customHeight="1">
      <c r="A3" s="15"/>
      <c r="B3" s="15"/>
      <c r="C3" s="16"/>
      <c r="D3" s="15"/>
      <c r="E3" s="5"/>
      <c r="F3" s="17"/>
      <c r="G3" s="17"/>
      <c r="H3" s="4"/>
      <c r="I3" s="5"/>
      <c r="J3" s="18"/>
      <c r="K3" s="7"/>
      <c r="L3" s="8"/>
      <c r="M3" s="7"/>
      <c r="N3" s="8"/>
      <c r="O3" s="8"/>
      <c r="P3" s="4"/>
      <c r="Q3" s="9"/>
      <c r="R3" s="19"/>
      <c r="S3" s="11"/>
      <c r="T3" s="12"/>
      <c r="U3" s="13"/>
    </row>
    <row r="4" ht="23.25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  <c r="Q4" s="23"/>
      <c r="R4" s="21"/>
      <c r="S4" s="21"/>
      <c r="T4" s="21"/>
      <c r="U4" s="22"/>
    </row>
    <row r="5" ht="27.0" customHeight="1">
      <c r="A5" s="24" t="s">
        <v>1</v>
      </c>
      <c r="B5" s="24" t="s">
        <v>2</v>
      </c>
      <c r="C5" s="25" t="s">
        <v>3</v>
      </c>
      <c r="D5" s="24" t="s">
        <v>4</v>
      </c>
      <c r="E5" s="24" t="s">
        <v>5</v>
      </c>
      <c r="F5" s="24" t="s">
        <v>6</v>
      </c>
      <c r="G5" s="24" t="s">
        <v>7</v>
      </c>
      <c r="H5" s="24" t="s">
        <v>8</v>
      </c>
      <c r="I5" s="24" t="s">
        <v>9</v>
      </c>
      <c r="J5" s="24" t="s">
        <v>10</v>
      </c>
      <c r="K5" s="24" t="s">
        <v>11</v>
      </c>
      <c r="L5" s="24" t="s">
        <v>12</v>
      </c>
      <c r="M5" s="26" t="s">
        <v>13</v>
      </c>
      <c r="N5" s="24" t="s">
        <v>14</v>
      </c>
      <c r="O5" s="24" t="s">
        <v>15</v>
      </c>
      <c r="P5" s="26" t="s">
        <v>16</v>
      </c>
      <c r="Q5" s="27" t="s">
        <v>17</v>
      </c>
      <c r="R5" s="24" t="s">
        <v>18</v>
      </c>
      <c r="S5" s="24" t="s">
        <v>19</v>
      </c>
      <c r="T5" s="24" t="s">
        <v>20</v>
      </c>
      <c r="U5" s="24"/>
    </row>
    <row r="6" ht="53.25" customHeight="1">
      <c r="A6" s="28" t="s">
        <v>0</v>
      </c>
      <c r="B6" s="29">
        <v>46226.0</v>
      </c>
      <c r="C6" s="30" t="s">
        <v>21</v>
      </c>
      <c r="D6" s="28" t="s">
        <v>22</v>
      </c>
      <c r="E6" s="28" t="s">
        <v>23</v>
      </c>
      <c r="F6" s="31" t="s">
        <v>23</v>
      </c>
      <c r="G6" s="31" t="s">
        <v>23</v>
      </c>
      <c r="H6" s="31" t="s">
        <v>24</v>
      </c>
      <c r="I6" s="28">
        <f t="shared" ref="I6:I15" si="2">IF(E6="L",0.25,IF(E6="M",0.5,IF(E6="H",0.75,"0")))</f>
        <v>0.5</v>
      </c>
      <c r="J6" s="28">
        <f t="shared" ref="J6:L6" si="1">(IF(F6="L",1,IF(F6="M",2,IF(F6="H",3,"0"))))</f>
        <v>2</v>
      </c>
      <c r="K6" s="28">
        <f t="shared" si="1"/>
        <v>2</v>
      </c>
      <c r="L6" s="28">
        <f t="shared" si="1"/>
        <v>3</v>
      </c>
      <c r="M6" s="28">
        <f t="shared" ref="M6:M15" si="4">IF($C6="","",SUM($J6:$L6))</f>
        <v>7</v>
      </c>
      <c r="N6" s="28" t="str">
        <f t="shared" ref="N6:N15" si="5">IF(M6="","",(IF(M6&lt;5,"L",IF(M6&gt;5,"H","M"))))</f>
        <v>H</v>
      </c>
      <c r="O6" s="28">
        <f t="shared" ref="O6:O15" si="6">IF(C6="",0,I6*M6)</f>
        <v>3.5</v>
      </c>
      <c r="P6" s="32">
        <f t="shared" ref="P6:P15" si="7">IF(C6="","",I6*M6)</f>
        <v>3.5</v>
      </c>
      <c r="Q6" s="33" t="s">
        <v>25</v>
      </c>
      <c r="R6" s="33" t="s">
        <v>26</v>
      </c>
      <c r="S6" s="28" t="s">
        <v>27</v>
      </c>
      <c r="T6" s="29">
        <v>46226.0</v>
      </c>
      <c r="U6" s="28"/>
    </row>
    <row r="7" ht="59.25" customHeight="1">
      <c r="A7" s="28" t="s">
        <v>0</v>
      </c>
      <c r="B7" s="29">
        <v>46226.0</v>
      </c>
      <c r="C7" s="30" t="s">
        <v>28</v>
      </c>
      <c r="D7" s="28" t="s">
        <v>22</v>
      </c>
      <c r="E7" s="28" t="s">
        <v>29</v>
      </c>
      <c r="F7" s="28" t="s">
        <v>24</v>
      </c>
      <c r="G7" s="28" t="s">
        <v>23</v>
      </c>
      <c r="H7" s="28" t="s">
        <v>24</v>
      </c>
      <c r="I7" s="28">
        <f t="shared" si="2"/>
        <v>0.25</v>
      </c>
      <c r="J7" s="28">
        <f t="shared" ref="J7:L7" si="3">(IF(F7="L",1,IF(F7="M",2,IF(F7="H",3,"0"))))</f>
        <v>3</v>
      </c>
      <c r="K7" s="28">
        <f t="shared" si="3"/>
        <v>2</v>
      </c>
      <c r="L7" s="28">
        <f t="shared" si="3"/>
        <v>3</v>
      </c>
      <c r="M7" s="28">
        <f t="shared" si="4"/>
        <v>8</v>
      </c>
      <c r="N7" s="28" t="str">
        <f t="shared" si="5"/>
        <v>H</v>
      </c>
      <c r="O7" s="28">
        <f t="shared" si="6"/>
        <v>2</v>
      </c>
      <c r="P7" s="32">
        <f t="shared" si="7"/>
        <v>2</v>
      </c>
      <c r="Q7" s="33" t="s">
        <v>30</v>
      </c>
      <c r="R7" s="33" t="s">
        <v>31</v>
      </c>
      <c r="S7" s="28" t="s">
        <v>27</v>
      </c>
      <c r="T7" s="29">
        <v>46226.0</v>
      </c>
      <c r="U7" s="28"/>
    </row>
    <row r="8" ht="63.75" customHeight="1">
      <c r="A8" s="28" t="s">
        <v>0</v>
      </c>
      <c r="B8" s="29">
        <v>46226.0</v>
      </c>
      <c r="C8" s="30" t="s">
        <v>32</v>
      </c>
      <c r="D8" s="28" t="s">
        <v>22</v>
      </c>
      <c r="E8" s="28" t="s">
        <v>23</v>
      </c>
      <c r="F8" s="28" t="s">
        <v>23</v>
      </c>
      <c r="G8" s="28" t="s">
        <v>23</v>
      </c>
      <c r="H8" s="28" t="s">
        <v>24</v>
      </c>
      <c r="I8" s="28">
        <f t="shared" si="2"/>
        <v>0.5</v>
      </c>
      <c r="J8" s="28">
        <f t="shared" ref="J8:L8" si="8">(IF(F8="L",1,IF(F8="M",2,IF(F8="H",3,"0"))))</f>
        <v>2</v>
      </c>
      <c r="K8" s="28">
        <f t="shared" si="8"/>
        <v>2</v>
      </c>
      <c r="L8" s="28">
        <f t="shared" si="8"/>
        <v>3</v>
      </c>
      <c r="M8" s="28">
        <f t="shared" si="4"/>
        <v>7</v>
      </c>
      <c r="N8" s="28" t="str">
        <f t="shared" si="5"/>
        <v>H</v>
      </c>
      <c r="O8" s="28">
        <f t="shared" si="6"/>
        <v>3.5</v>
      </c>
      <c r="P8" s="32">
        <f t="shared" si="7"/>
        <v>3.5</v>
      </c>
      <c r="Q8" s="33" t="s">
        <v>33</v>
      </c>
      <c r="R8" s="33" t="s">
        <v>34</v>
      </c>
      <c r="S8" s="28" t="s">
        <v>27</v>
      </c>
      <c r="T8" s="29">
        <v>46226.0</v>
      </c>
      <c r="U8" s="28"/>
    </row>
    <row r="9" ht="53.25" customHeight="1">
      <c r="A9" s="28" t="s">
        <v>0</v>
      </c>
      <c r="B9" s="29">
        <v>46226.0</v>
      </c>
      <c r="C9" s="30" t="s">
        <v>35</v>
      </c>
      <c r="D9" s="28" t="s">
        <v>22</v>
      </c>
      <c r="E9" s="28" t="s">
        <v>23</v>
      </c>
      <c r="F9" s="28" t="s">
        <v>23</v>
      </c>
      <c r="G9" s="28" t="s">
        <v>23</v>
      </c>
      <c r="H9" s="28" t="s">
        <v>23</v>
      </c>
      <c r="I9" s="28">
        <f t="shared" si="2"/>
        <v>0.5</v>
      </c>
      <c r="J9" s="28">
        <f t="shared" ref="J9:L9" si="9">(IF(F9="L",1,IF(F9="M",2,IF(F9="H",3,"0"))))</f>
        <v>2</v>
      </c>
      <c r="K9" s="28">
        <f t="shared" si="9"/>
        <v>2</v>
      </c>
      <c r="L9" s="28">
        <f t="shared" si="9"/>
        <v>2</v>
      </c>
      <c r="M9" s="28">
        <f t="shared" si="4"/>
        <v>6</v>
      </c>
      <c r="N9" s="28" t="str">
        <f t="shared" si="5"/>
        <v>H</v>
      </c>
      <c r="O9" s="28">
        <f t="shared" si="6"/>
        <v>3</v>
      </c>
      <c r="P9" s="32">
        <f t="shared" si="7"/>
        <v>3</v>
      </c>
      <c r="Q9" s="33" t="s">
        <v>36</v>
      </c>
      <c r="R9" s="33" t="s">
        <v>37</v>
      </c>
      <c r="S9" s="28" t="s">
        <v>27</v>
      </c>
      <c r="T9" s="29">
        <v>46226.0</v>
      </c>
      <c r="U9" s="34"/>
    </row>
    <row r="10" ht="60.0" customHeight="1">
      <c r="A10" s="28" t="s">
        <v>0</v>
      </c>
      <c r="B10" s="29">
        <v>46226.0</v>
      </c>
      <c r="C10" s="30" t="s">
        <v>38</v>
      </c>
      <c r="D10" s="28" t="s">
        <v>22</v>
      </c>
      <c r="E10" s="28" t="s">
        <v>24</v>
      </c>
      <c r="F10" s="28" t="s">
        <v>23</v>
      </c>
      <c r="G10" s="28" t="s">
        <v>24</v>
      </c>
      <c r="H10" s="28" t="s">
        <v>29</v>
      </c>
      <c r="I10" s="28">
        <f t="shared" si="2"/>
        <v>0.75</v>
      </c>
      <c r="J10" s="28">
        <f t="shared" ref="J10:L10" si="10">(IF(F10="L",1,IF(F10="M",2,IF(F10="H",3,"0"))))</f>
        <v>2</v>
      </c>
      <c r="K10" s="28">
        <f t="shared" si="10"/>
        <v>3</v>
      </c>
      <c r="L10" s="28">
        <f t="shared" si="10"/>
        <v>1</v>
      </c>
      <c r="M10" s="28">
        <f t="shared" si="4"/>
        <v>6</v>
      </c>
      <c r="N10" s="28" t="str">
        <f t="shared" si="5"/>
        <v>H</v>
      </c>
      <c r="O10" s="28">
        <f t="shared" si="6"/>
        <v>4.5</v>
      </c>
      <c r="P10" s="32">
        <f t="shared" si="7"/>
        <v>4.5</v>
      </c>
      <c r="Q10" s="33" t="s">
        <v>39</v>
      </c>
      <c r="R10" s="33" t="s">
        <v>40</v>
      </c>
      <c r="S10" s="28" t="s">
        <v>27</v>
      </c>
      <c r="T10" s="29">
        <v>46226.0</v>
      </c>
      <c r="U10" s="28"/>
    </row>
    <row r="11" ht="71.25" customHeight="1">
      <c r="A11" s="28" t="s">
        <v>0</v>
      </c>
      <c r="B11" s="29">
        <v>46226.0</v>
      </c>
      <c r="C11" s="30" t="s">
        <v>41</v>
      </c>
      <c r="D11" s="28" t="s">
        <v>22</v>
      </c>
      <c r="E11" s="28" t="s">
        <v>23</v>
      </c>
      <c r="F11" s="28" t="s">
        <v>23</v>
      </c>
      <c r="G11" s="28" t="s">
        <v>23</v>
      </c>
      <c r="H11" s="28" t="s">
        <v>24</v>
      </c>
      <c r="I11" s="28">
        <f t="shared" si="2"/>
        <v>0.5</v>
      </c>
      <c r="J11" s="28">
        <f t="shared" ref="J11:L11" si="11">(IF(F11="L",1,IF(F11="M",2,IF(F11="H",3,"0"))))</f>
        <v>2</v>
      </c>
      <c r="K11" s="28">
        <f t="shared" si="11"/>
        <v>2</v>
      </c>
      <c r="L11" s="28">
        <f t="shared" si="11"/>
        <v>3</v>
      </c>
      <c r="M11" s="28">
        <f t="shared" si="4"/>
        <v>7</v>
      </c>
      <c r="N11" s="28" t="str">
        <f t="shared" si="5"/>
        <v>H</v>
      </c>
      <c r="O11" s="28">
        <f t="shared" si="6"/>
        <v>3.5</v>
      </c>
      <c r="P11" s="32">
        <f t="shared" si="7"/>
        <v>3.5</v>
      </c>
      <c r="Q11" s="33" t="s">
        <v>42</v>
      </c>
      <c r="R11" s="33" t="s">
        <v>43</v>
      </c>
      <c r="S11" s="28" t="s">
        <v>27</v>
      </c>
      <c r="T11" s="29">
        <v>46226.0</v>
      </c>
      <c r="U11" s="28"/>
    </row>
    <row r="12" ht="66.0" customHeight="1">
      <c r="A12" s="28" t="s">
        <v>0</v>
      </c>
      <c r="B12" s="29">
        <v>46226.0</v>
      </c>
      <c r="C12" s="30" t="s">
        <v>44</v>
      </c>
      <c r="D12" s="28" t="s">
        <v>22</v>
      </c>
      <c r="E12" s="28" t="s">
        <v>29</v>
      </c>
      <c r="F12" s="28" t="s">
        <v>23</v>
      </c>
      <c r="G12" s="28" t="s">
        <v>29</v>
      </c>
      <c r="H12" s="28" t="s">
        <v>23</v>
      </c>
      <c r="I12" s="28">
        <f t="shared" si="2"/>
        <v>0.25</v>
      </c>
      <c r="J12" s="28">
        <f t="shared" ref="J12:L12" si="12">(IF(F12="L",1,IF(F12="M",2,IF(F12="H",3,"0"))))</f>
        <v>2</v>
      </c>
      <c r="K12" s="28">
        <f t="shared" si="12"/>
        <v>1</v>
      </c>
      <c r="L12" s="28">
        <f t="shared" si="12"/>
        <v>2</v>
      </c>
      <c r="M12" s="28">
        <f t="shared" si="4"/>
        <v>5</v>
      </c>
      <c r="N12" s="28" t="str">
        <f t="shared" si="5"/>
        <v>M</v>
      </c>
      <c r="O12" s="28">
        <f t="shared" si="6"/>
        <v>1.25</v>
      </c>
      <c r="P12" s="32">
        <f t="shared" si="7"/>
        <v>1.25</v>
      </c>
      <c r="Q12" s="33" t="s">
        <v>45</v>
      </c>
      <c r="R12" s="33" t="s">
        <v>46</v>
      </c>
      <c r="S12" s="28" t="s">
        <v>27</v>
      </c>
      <c r="T12" s="29">
        <v>46226.0</v>
      </c>
      <c r="U12" s="28"/>
    </row>
    <row r="13" ht="72.0" customHeight="1">
      <c r="A13" s="28" t="s">
        <v>0</v>
      </c>
      <c r="B13" s="29">
        <v>46226.0</v>
      </c>
      <c r="C13" s="30" t="s">
        <v>47</v>
      </c>
      <c r="D13" s="28" t="s">
        <v>22</v>
      </c>
      <c r="E13" s="28" t="s">
        <v>23</v>
      </c>
      <c r="F13" s="28" t="s">
        <v>29</v>
      </c>
      <c r="G13" s="28" t="s">
        <v>23</v>
      </c>
      <c r="H13" s="28" t="s">
        <v>23</v>
      </c>
      <c r="I13" s="28">
        <f t="shared" si="2"/>
        <v>0.5</v>
      </c>
      <c r="J13" s="28">
        <f t="shared" ref="J13:L13" si="13">(IF(F13="L",1,IF(F13="M",2,IF(F13="H",3,"0"))))</f>
        <v>1</v>
      </c>
      <c r="K13" s="28">
        <f t="shared" si="13"/>
        <v>2</v>
      </c>
      <c r="L13" s="28">
        <f t="shared" si="13"/>
        <v>2</v>
      </c>
      <c r="M13" s="28">
        <f t="shared" si="4"/>
        <v>5</v>
      </c>
      <c r="N13" s="28" t="str">
        <f t="shared" si="5"/>
        <v>M</v>
      </c>
      <c r="O13" s="28">
        <f t="shared" si="6"/>
        <v>2.5</v>
      </c>
      <c r="P13" s="32">
        <f t="shared" si="7"/>
        <v>2.5</v>
      </c>
      <c r="Q13" s="33" t="s">
        <v>48</v>
      </c>
      <c r="R13" s="33" t="s">
        <v>49</v>
      </c>
      <c r="S13" s="28" t="s">
        <v>27</v>
      </c>
      <c r="T13" s="29">
        <v>46226.0</v>
      </c>
      <c r="U13" s="28"/>
    </row>
    <row r="14" ht="69.0" customHeight="1">
      <c r="A14" s="28" t="s">
        <v>0</v>
      </c>
      <c r="B14" s="29">
        <v>46226.0</v>
      </c>
      <c r="C14" s="30" t="s">
        <v>50</v>
      </c>
      <c r="D14" s="28" t="s">
        <v>22</v>
      </c>
      <c r="E14" s="28" t="s">
        <v>23</v>
      </c>
      <c r="F14" s="28" t="s">
        <v>24</v>
      </c>
      <c r="G14" s="28" t="s">
        <v>24</v>
      </c>
      <c r="H14" s="28" t="s">
        <v>29</v>
      </c>
      <c r="I14" s="28">
        <f t="shared" si="2"/>
        <v>0.5</v>
      </c>
      <c r="J14" s="28">
        <f t="shared" ref="J14:L14" si="14">(IF(F14="L",1,IF(F14="M",2,IF(F14="H",3,"0"))))</f>
        <v>3</v>
      </c>
      <c r="K14" s="28">
        <f t="shared" si="14"/>
        <v>3</v>
      </c>
      <c r="L14" s="28">
        <f t="shared" si="14"/>
        <v>1</v>
      </c>
      <c r="M14" s="28">
        <f t="shared" si="4"/>
        <v>7</v>
      </c>
      <c r="N14" s="28" t="str">
        <f t="shared" si="5"/>
        <v>H</v>
      </c>
      <c r="O14" s="28">
        <f t="shared" si="6"/>
        <v>3.5</v>
      </c>
      <c r="P14" s="32">
        <f t="shared" si="7"/>
        <v>3.5</v>
      </c>
      <c r="Q14" s="33" t="s">
        <v>51</v>
      </c>
      <c r="R14" s="33" t="s">
        <v>52</v>
      </c>
      <c r="S14" s="28" t="s">
        <v>27</v>
      </c>
      <c r="T14" s="29">
        <v>46226.0</v>
      </c>
      <c r="U14" s="28"/>
    </row>
    <row r="15" ht="51.75" customHeight="1">
      <c r="A15" s="28" t="s">
        <v>0</v>
      </c>
      <c r="B15" s="29">
        <v>46226.0</v>
      </c>
      <c r="C15" s="30" t="s">
        <v>53</v>
      </c>
      <c r="D15" s="28" t="s">
        <v>22</v>
      </c>
      <c r="E15" s="28" t="s">
        <v>23</v>
      </c>
      <c r="F15" s="28" t="s">
        <v>29</v>
      </c>
      <c r="G15" s="28" t="s">
        <v>29</v>
      </c>
      <c r="H15" s="28" t="s">
        <v>23</v>
      </c>
      <c r="I15" s="28">
        <f t="shared" si="2"/>
        <v>0.5</v>
      </c>
      <c r="J15" s="28">
        <f t="shared" ref="J15:L15" si="15">(IF(F15="L",1,IF(F15="M",2,IF(F15="H",3,"0"))))</f>
        <v>1</v>
      </c>
      <c r="K15" s="28">
        <f t="shared" si="15"/>
        <v>1</v>
      </c>
      <c r="L15" s="28">
        <f t="shared" si="15"/>
        <v>2</v>
      </c>
      <c r="M15" s="28">
        <f t="shared" si="4"/>
        <v>4</v>
      </c>
      <c r="N15" s="28" t="str">
        <f t="shared" si="5"/>
        <v>L</v>
      </c>
      <c r="O15" s="28">
        <f t="shared" si="6"/>
        <v>2</v>
      </c>
      <c r="P15" s="32">
        <f t="shared" si="7"/>
        <v>2</v>
      </c>
      <c r="Q15" s="33" t="s">
        <v>54</v>
      </c>
      <c r="R15" s="33" t="s">
        <v>55</v>
      </c>
      <c r="S15" s="28" t="s">
        <v>27</v>
      </c>
      <c r="T15" s="29">
        <v>46226.0</v>
      </c>
      <c r="U15" s="35"/>
    </row>
    <row r="16" ht="12.75" customHeight="1">
      <c r="A16" s="36"/>
      <c r="B16" s="37"/>
      <c r="C16" s="38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9"/>
      <c r="Q16" s="40"/>
      <c r="R16" s="40"/>
      <c r="S16" s="36"/>
      <c r="T16" s="37"/>
      <c r="U16" s="41"/>
    </row>
    <row r="17" ht="12.75" customHeight="1">
      <c r="A17" s="36"/>
      <c r="B17" s="37"/>
      <c r="C17" s="38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9"/>
      <c r="Q17" s="40"/>
      <c r="R17" s="40"/>
      <c r="S17" s="36"/>
      <c r="T17" s="37"/>
      <c r="U17" s="41"/>
    </row>
    <row r="18" ht="12.75" customHeight="1">
      <c r="A18" s="36"/>
      <c r="B18" s="37"/>
      <c r="C18" s="38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9"/>
      <c r="Q18" s="40"/>
      <c r="R18" s="40"/>
      <c r="S18" s="36"/>
      <c r="T18" s="37"/>
      <c r="U18" s="41"/>
    </row>
    <row r="19" ht="12.75" customHeight="1">
      <c r="A19" s="36"/>
      <c r="B19" s="37"/>
      <c r="C19" s="38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9"/>
      <c r="Q19" s="40"/>
      <c r="R19" s="40"/>
      <c r="S19" s="36"/>
      <c r="T19" s="37"/>
      <c r="U19" s="41"/>
    </row>
    <row r="20" ht="12.75" customHeight="1">
      <c r="A20" s="36"/>
      <c r="B20" s="37"/>
      <c r="C20" s="38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9"/>
      <c r="Q20" s="40"/>
      <c r="R20" s="40"/>
      <c r="S20" s="36"/>
      <c r="T20" s="37"/>
      <c r="U20" s="41"/>
    </row>
    <row r="21" ht="12.75" customHeight="1">
      <c r="A21" s="36"/>
      <c r="B21" s="37"/>
      <c r="C21" s="38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9"/>
      <c r="Q21" s="40"/>
      <c r="R21" s="40"/>
      <c r="S21" s="36"/>
      <c r="T21" s="37"/>
      <c r="U21" s="41"/>
    </row>
    <row r="22" ht="12.75" customHeight="1">
      <c r="A22" s="36"/>
      <c r="B22" s="37"/>
      <c r="C22" s="38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9"/>
      <c r="Q22" s="40"/>
      <c r="R22" s="40"/>
      <c r="S22" s="36"/>
      <c r="T22" s="37"/>
      <c r="U22" s="41"/>
    </row>
    <row r="23" ht="12.75" customHeight="1">
      <c r="A23" s="36"/>
      <c r="B23" s="37"/>
      <c r="C23" s="3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9"/>
      <c r="Q23" s="40"/>
      <c r="R23" s="40"/>
      <c r="S23" s="36"/>
      <c r="T23" s="37"/>
      <c r="U23" s="41"/>
    </row>
    <row r="24" ht="12.75" customHeight="1">
      <c r="A24" s="36"/>
      <c r="B24" s="37"/>
      <c r="C24" s="38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9"/>
      <c r="Q24" s="40"/>
      <c r="R24" s="40"/>
      <c r="S24" s="36"/>
      <c r="T24" s="37"/>
      <c r="U24" s="41"/>
    </row>
    <row r="25" ht="12.75" customHeight="1">
      <c r="A25" s="36"/>
      <c r="B25" s="37"/>
      <c r="C25" s="38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9"/>
      <c r="Q25" s="40"/>
      <c r="R25" s="40"/>
      <c r="S25" s="36"/>
      <c r="T25" s="37"/>
      <c r="U25" s="41"/>
    </row>
    <row r="26" ht="12.75" customHeight="1">
      <c r="A26" s="36"/>
      <c r="B26" s="37"/>
      <c r="C26" s="38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9"/>
      <c r="Q26" s="40"/>
      <c r="R26" s="40"/>
      <c r="S26" s="36"/>
      <c r="T26" s="37"/>
      <c r="U26" s="41"/>
    </row>
    <row r="27" ht="12.75" customHeight="1">
      <c r="A27" s="36"/>
      <c r="B27" s="37"/>
      <c r="C27" s="38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9"/>
      <c r="Q27" s="40"/>
      <c r="R27" s="40"/>
      <c r="S27" s="36"/>
      <c r="T27" s="37"/>
      <c r="U27" s="41"/>
    </row>
    <row r="28" ht="12.75" customHeight="1">
      <c r="A28" s="36"/>
      <c r="B28" s="37"/>
      <c r="C28" s="38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9"/>
      <c r="Q28" s="40"/>
      <c r="R28" s="40"/>
      <c r="S28" s="36"/>
      <c r="T28" s="37"/>
      <c r="U28" s="41"/>
    </row>
    <row r="29" ht="12.75" customHeight="1">
      <c r="A29" s="36"/>
      <c r="B29" s="37"/>
      <c r="C29" s="38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9"/>
      <c r="Q29" s="40"/>
      <c r="R29" s="40"/>
      <c r="S29" s="36"/>
      <c r="T29" s="37"/>
      <c r="U29" s="41"/>
    </row>
    <row r="30" ht="12.75" customHeight="1">
      <c r="A30" s="36"/>
      <c r="B30" s="37"/>
      <c r="C30" s="38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9"/>
      <c r="Q30" s="40"/>
      <c r="R30" s="40"/>
      <c r="S30" s="36"/>
      <c r="T30" s="37"/>
      <c r="U30" s="41"/>
    </row>
    <row r="31" ht="12.75" customHeight="1">
      <c r="A31" s="36"/>
      <c r="B31" s="37"/>
      <c r="C31" s="38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9"/>
      <c r="Q31" s="40"/>
      <c r="R31" s="40"/>
      <c r="S31" s="36"/>
      <c r="T31" s="37"/>
      <c r="U31" s="41"/>
    </row>
    <row r="32" ht="12.75" customHeight="1">
      <c r="A32" s="36"/>
      <c r="B32" s="37"/>
      <c r="C32" s="38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9"/>
      <c r="Q32" s="40"/>
      <c r="R32" s="40"/>
      <c r="S32" s="36"/>
      <c r="T32" s="37"/>
      <c r="U32" s="41"/>
    </row>
    <row r="33" ht="12.75" customHeight="1">
      <c r="A33" s="36"/>
      <c r="B33" s="37"/>
      <c r="C33" s="38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9"/>
      <c r="Q33" s="40"/>
      <c r="R33" s="40"/>
      <c r="S33" s="36"/>
      <c r="T33" s="37"/>
      <c r="U33" s="41"/>
    </row>
    <row r="34" ht="12.75" customHeight="1">
      <c r="A34" s="36"/>
      <c r="B34" s="37"/>
      <c r="C34" s="38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9"/>
      <c r="Q34" s="40"/>
      <c r="R34" s="40"/>
      <c r="S34" s="36"/>
      <c r="T34" s="37"/>
      <c r="U34" s="41"/>
    </row>
    <row r="35" ht="12.75" customHeight="1">
      <c r="A35" s="36"/>
      <c r="B35" s="37"/>
      <c r="C35" s="38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9"/>
      <c r="Q35" s="40"/>
      <c r="R35" s="40"/>
      <c r="S35" s="36"/>
      <c r="T35" s="37"/>
      <c r="U35" s="41"/>
    </row>
    <row r="36" ht="12.75" customHeight="1">
      <c r="A36" s="36"/>
      <c r="B36" s="37"/>
      <c r="C36" s="38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9"/>
      <c r="Q36" s="40"/>
      <c r="R36" s="40"/>
      <c r="S36" s="36"/>
      <c r="T36" s="37"/>
      <c r="U36" s="41"/>
    </row>
    <row r="37" ht="12.75" customHeight="1">
      <c r="A37" s="36"/>
      <c r="B37" s="37"/>
      <c r="C37" s="38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9"/>
      <c r="Q37" s="40"/>
      <c r="R37" s="40"/>
      <c r="S37" s="36"/>
      <c r="T37" s="37"/>
      <c r="U37" s="41"/>
    </row>
    <row r="38" ht="12.75" customHeight="1">
      <c r="A38" s="36"/>
      <c r="B38" s="37"/>
      <c r="C38" s="38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9"/>
      <c r="Q38" s="40"/>
      <c r="R38" s="40"/>
      <c r="S38" s="36"/>
      <c r="T38" s="37"/>
      <c r="U38" s="41"/>
    </row>
    <row r="39" ht="12.75" customHeight="1">
      <c r="A39" s="36"/>
      <c r="B39" s="37"/>
      <c r="C39" s="38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9"/>
      <c r="Q39" s="40"/>
      <c r="R39" s="40"/>
      <c r="S39" s="36"/>
      <c r="T39" s="37"/>
      <c r="U39" s="41"/>
    </row>
    <row r="40" ht="12.75" customHeight="1">
      <c r="A40" s="36"/>
      <c r="B40" s="37"/>
      <c r="C40" s="38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9"/>
      <c r="Q40" s="40"/>
      <c r="R40" s="40"/>
      <c r="S40" s="36"/>
      <c r="T40" s="37"/>
      <c r="U40" s="41"/>
    </row>
    <row r="41" ht="12.75" customHeight="1">
      <c r="A41" s="36"/>
      <c r="B41" s="37"/>
      <c r="C41" s="38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9"/>
      <c r="Q41" s="40"/>
      <c r="R41" s="40"/>
      <c r="S41" s="36"/>
      <c r="T41" s="37"/>
      <c r="U41" s="41"/>
    </row>
    <row r="42" ht="12.75" customHeight="1">
      <c r="A42" s="36"/>
      <c r="B42" s="37"/>
      <c r="C42" s="38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9"/>
      <c r="Q42" s="40"/>
      <c r="R42" s="40"/>
      <c r="S42" s="36"/>
      <c r="T42" s="37"/>
      <c r="U42" s="41"/>
    </row>
    <row r="43" ht="12.75" customHeight="1">
      <c r="A43" s="36"/>
      <c r="B43" s="37"/>
      <c r="C43" s="38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9"/>
      <c r="Q43" s="40"/>
      <c r="R43" s="40"/>
      <c r="S43" s="36"/>
      <c r="T43" s="37"/>
      <c r="U43" s="41"/>
    </row>
    <row r="44" ht="12.75" customHeight="1">
      <c r="A44" s="36"/>
      <c r="B44" s="37"/>
      <c r="C44" s="38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9"/>
      <c r="Q44" s="40"/>
      <c r="R44" s="40"/>
      <c r="S44" s="36"/>
      <c r="T44" s="37"/>
      <c r="U44" s="41"/>
    </row>
    <row r="45" ht="12.75" customHeight="1">
      <c r="A45" s="36"/>
      <c r="B45" s="37"/>
      <c r="C45" s="38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9"/>
      <c r="Q45" s="40"/>
      <c r="R45" s="40"/>
      <c r="S45" s="36"/>
      <c r="T45" s="37"/>
      <c r="U45" s="41"/>
    </row>
    <row r="46" ht="12.75" customHeight="1">
      <c r="A46" s="36"/>
      <c r="B46" s="37"/>
      <c r="C46" s="38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9"/>
      <c r="Q46" s="40"/>
      <c r="R46" s="40"/>
      <c r="S46" s="36"/>
      <c r="T46" s="37"/>
      <c r="U46" s="41"/>
    </row>
    <row r="47" ht="12.75" customHeight="1">
      <c r="A47" s="36"/>
      <c r="B47" s="37"/>
      <c r="C47" s="38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9"/>
      <c r="Q47" s="40"/>
      <c r="R47" s="40"/>
      <c r="S47" s="36"/>
      <c r="T47" s="37"/>
      <c r="U47" s="41"/>
    </row>
    <row r="48" ht="12.75" customHeight="1">
      <c r="A48" s="36"/>
      <c r="B48" s="37"/>
      <c r="C48" s="38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9"/>
      <c r="Q48" s="40"/>
      <c r="R48" s="40"/>
      <c r="S48" s="36"/>
      <c r="T48" s="37"/>
      <c r="U48" s="41"/>
    </row>
    <row r="49" ht="12.75" customHeight="1">
      <c r="A49" s="36"/>
      <c r="B49" s="37"/>
      <c r="C49" s="38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9"/>
      <c r="Q49" s="40"/>
      <c r="R49" s="40"/>
      <c r="S49" s="36"/>
      <c r="T49" s="37"/>
      <c r="U49" s="41"/>
    </row>
    <row r="50" ht="12.75" customHeight="1">
      <c r="A50" s="36"/>
      <c r="B50" s="37"/>
      <c r="C50" s="38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9"/>
      <c r="Q50" s="40"/>
      <c r="R50" s="40"/>
      <c r="S50" s="36"/>
      <c r="T50" s="37"/>
      <c r="U50" s="41"/>
    </row>
    <row r="51" ht="12.75" customHeight="1">
      <c r="A51" s="36"/>
      <c r="B51" s="37"/>
      <c r="C51" s="38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9"/>
      <c r="Q51" s="40"/>
      <c r="R51" s="40"/>
      <c r="S51" s="36"/>
      <c r="T51" s="37"/>
      <c r="U51" s="41"/>
    </row>
    <row r="52" ht="12.75" customHeight="1">
      <c r="A52" s="36"/>
      <c r="B52" s="37"/>
      <c r="C52" s="38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9"/>
      <c r="Q52" s="40"/>
      <c r="R52" s="40"/>
      <c r="S52" s="36"/>
      <c r="T52" s="37"/>
      <c r="U52" s="41"/>
    </row>
    <row r="53" ht="12.75" customHeight="1">
      <c r="A53" s="36"/>
      <c r="B53" s="37"/>
      <c r="C53" s="38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9"/>
      <c r="Q53" s="40"/>
      <c r="R53" s="40"/>
      <c r="S53" s="36"/>
      <c r="T53" s="37"/>
      <c r="U53" s="41"/>
    </row>
    <row r="54" ht="12.75" customHeight="1">
      <c r="A54" s="36"/>
      <c r="B54" s="37"/>
      <c r="C54" s="38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9"/>
      <c r="Q54" s="40"/>
      <c r="R54" s="40"/>
      <c r="S54" s="36"/>
      <c r="T54" s="37"/>
      <c r="U54" s="41"/>
    </row>
    <row r="55" ht="12.75" customHeight="1">
      <c r="A55" s="36"/>
      <c r="B55" s="37"/>
      <c r="C55" s="38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9"/>
      <c r="Q55" s="40"/>
      <c r="R55" s="40"/>
      <c r="S55" s="36"/>
      <c r="T55" s="37"/>
      <c r="U55" s="41"/>
    </row>
    <row r="56" ht="12.75" customHeight="1">
      <c r="A56" s="36"/>
      <c r="B56" s="37"/>
      <c r="C56" s="38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9"/>
      <c r="Q56" s="40"/>
      <c r="R56" s="40"/>
      <c r="S56" s="36"/>
      <c r="T56" s="37"/>
      <c r="U56" s="41"/>
    </row>
    <row r="57" ht="12.75" customHeight="1">
      <c r="A57" s="36"/>
      <c r="B57" s="37"/>
      <c r="C57" s="38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9"/>
      <c r="Q57" s="40"/>
      <c r="R57" s="40"/>
      <c r="S57" s="36"/>
      <c r="T57" s="37"/>
      <c r="U57" s="41"/>
    </row>
    <row r="58" ht="12.75" customHeight="1">
      <c r="A58" s="36"/>
      <c r="B58" s="37"/>
      <c r="C58" s="38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9"/>
      <c r="Q58" s="40"/>
      <c r="R58" s="40"/>
      <c r="S58" s="36"/>
      <c r="T58" s="37"/>
      <c r="U58" s="41"/>
    </row>
    <row r="59" ht="12.75" customHeight="1">
      <c r="A59" s="36"/>
      <c r="B59" s="37"/>
      <c r="C59" s="38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9"/>
      <c r="Q59" s="40"/>
      <c r="R59" s="40"/>
      <c r="S59" s="36"/>
      <c r="T59" s="37"/>
      <c r="U59" s="41"/>
    </row>
    <row r="60" ht="12.75" customHeight="1">
      <c r="A60" s="36"/>
      <c r="B60" s="37"/>
      <c r="C60" s="38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9"/>
      <c r="Q60" s="40"/>
      <c r="R60" s="40"/>
      <c r="S60" s="36"/>
      <c r="T60" s="37"/>
      <c r="U60" s="41"/>
    </row>
    <row r="61" ht="12.75" customHeight="1">
      <c r="A61" s="36"/>
      <c r="B61" s="37"/>
      <c r="C61" s="38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9"/>
      <c r="Q61" s="40"/>
      <c r="R61" s="40"/>
      <c r="S61" s="36"/>
      <c r="T61" s="37"/>
      <c r="U61" s="41"/>
    </row>
    <row r="62" ht="12.75" customHeight="1">
      <c r="A62" s="36"/>
      <c r="B62" s="37"/>
      <c r="C62" s="38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9"/>
      <c r="Q62" s="40"/>
      <c r="R62" s="40"/>
      <c r="S62" s="36"/>
      <c r="T62" s="37"/>
      <c r="U62" s="41"/>
    </row>
    <row r="63" ht="12.75" customHeight="1">
      <c r="A63" s="36"/>
      <c r="B63" s="37"/>
      <c r="C63" s="38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9"/>
      <c r="Q63" s="40"/>
      <c r="R63" s="40"/>
      <c r="S63" s="36"/>
      <c r="T63" s="37"/>
      <c r="U63" s="41"/>
    </row>
    <row r="64" ht="12.75" customHeight="1">
      <c r="A64" s="36"/>
      <c r="B64" s="37"/>
      <c r="C64" s="38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9"/>
      <c r="Q64" s="40"/>
      <c r="R64" s="40"/>
      <c r="S64" s="36"/>
      <c r="T64" s="37"/>
      <c r="U64" s="41"/>
    </row>
    <row r="65" ht="12.75" customHeight="1">
      <c r="A65" s="36"/>
      <c r="B65" s="37"/>
      <c r="C65" s="38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9"/>
      <c r="Q65" s="40"/>
      <c r="R65" s="40"/>
      <c r="S65" s="36"/>
      <c r="T65" s="37"/>
      <c r="U65" s="41"/>
    </row>
    <row r="66" ht="12.75" customHeight="1">
      <c r="A66" s="36"/>
      <c r="B66" s="37"/>
      <c r="C66" s="38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9"/>
      <c r="Q66" s="40"/>
      <c r="R66" s="40"/>
      <c r="S66" s="36"/>
      <c r="T66" s="37"/>
      <c r="U66" s="41"/>
    </row>
    <row r="67" ht="12.75" customHeight="1">
      <c r="A67" s="36"/>
      <c r="B67" s="37"/>
      <c r="C67" s="38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9"/>
      <c r="Q67" s="40"/>
      <c r="R67" s="40"/>
      <c r="S67" s="36"/>
      <c r="T67" s="37"/>
      <c r="U67" s="41"/>
    </row>
    <row r="68" ht="12.75" customHeight="1">
      <c r="A68" s="36"/>
      <c r="B68" s="37"/>
      <c r="C68" s="38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9"/>
      <c r="Q68" s="40"/>
      <c r="R68" s="40"/>
      <c r="S68" s="36"/>
      <c r="T68" s="37"/>
      <c r="U68" s="41"/>
    </row>
    <row r="69" ht="12.75" customHeight="1">
      <c r="A69" s="36"/>
      <c r="B69" s="37"/>
      <c r="C69" s="38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9"/>
      <c r="Q69" s="40"/>
      <c r="R69" s="40"/>
      <c r="S69" s="36"/>
      <c r="T69" s="37"/>
      <c r="U69" s="41"/>
    </row>
    <row r="70" ht="12.75" customHeight="1">
      <c r="A70" s="36"/>
      <c r="B70" s="37"/>
      <c r="C70" s="38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9"/>
      <c r="Q70" s="40"/>
      <c r="R70" s="40"/>
      <c r="S70" s="36"/>
      <c r="T70" s="37"/>
      <c r="U70" s="41"/>
    </row>
    <row r="71" ht="12.75" customHeight="1">
      <c r="A71" s="36"/>
      <c r="B71" s="37"/>
      <c r="C71" s="38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9"/>
      <c r="Q71" s="40"/>
      <c r="R71" s="40"/>
      <c r="S71" s="36"/>
      <c r="T71" s="37"/>
      <c r="U71" s="41"/>
    </row>
    <row r="72" ht="12.75" customHeight="1">
      <c r="A72" s="36"/>
      <c r="B72" s="37"/>
      <c r="C72" s="38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9"/>
      <c r="Q72" s="40"/>
      <c r="R72" s="40"/>
      <c r="S72" s="36"/>
      <c r="T72" s="37"/>
      <c r="U72" s="41"/>
    </row>
    <row r="73" ht="12.75" customHeight="1">
      <c r="A73" s="36"/>
      <c r="B73" s="37"/>
      <c r="C73" s="38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9"/>
      <c r="Q73" s="40"/>
      <c r="R73" s="40"/>
      <c r="S73" s="36"/>
      <c r="T73" s="37"/>
      <c r="U73" s="41"/>
    </row>
    <row r="74" ht="12.75" customHeight="1">
      <c r="A74" s="36"/>
      <c r="B74" s="37"/>
      <c r="C74" s="38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9"/>
      <c r="Q74" s="40"/>
      <c r="R74" s="40"/>
      <c r="S74" s="36"/>
      <c r="T74" s="37"/>
      <c r="U74" s="41"/>
    </row>
    <row r="75" ht="12.75" customHeight="1">
      <c r="A75" s="36"/>
      <c r="B75" s="37"/>
      <c r="C75" s="38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9"/>
      <c r="Q75" s="40"/>
      <c r="R75" s="40"/>
      <c r="S75" s="36"/>
      <c r="T75" s="37"/>
      <c r="U75" s="41"/>
    </row>
    <row r="76" ht="12.75" customHeight="1">
      <c r="A76" s="36"/>
      <c r="B76" s="37"/>
      <c r="C76" s="38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9"/>
      <c r="Q76" s="40"/>
      <c r="R76" s="40"/>
      <c r="S76" s="36"/>
      <c r="T76" s="37"/>
      <c r="U76" s="41"/>
    </row>
    <row r="77" ht="12.75" customHeight="1">
      <c r="A77" s="36"/>
      <c r="B77" s="37"/>
      <c r="C77" s="38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9"/>
      <c r="Q77" s="40"/>
      <c r="R77" s="40"/>
      <c r="S77" s="36"/>
      <c r="T77" s="37"/>
      <c r="U77" s="41"/>
    </row>
    <row r="78" ht="12.75" customHeight="1">
      <c r="A78" s="36"/>
      <c r="B78" s="37"/>
      <c r="C78" s="38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9"/>
      <c r="Q78" s="40"/>
      <c r="R78" s="40"/>
      <c r="S78" s="36"/>
      <c r="T78" s="37"/>
      <c r="U78" s="41"/>
    </row>
    <row r="79" ht="12.75" customHeight="1">
      <c r="A79" s="36"/>
      <c r="B79" s="37"/>
      <c r="C79" s="38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9"/>
      <c r="Q79" s="40"/>
      <c r="R79" s="40"/>
      <c r="S79" s="36"/>
      <c r="T79" s="37"/>
      <c r="U79" s="41"/>
    </row>
    <row r="80" ht="12.75" customHeight="1">
      <c r="A80" s="36"/>
      <c r="B80" s="37"/>
      <c r="C80" s="38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9"/>
      <c r="Q80" s="40"/>
      <c r="R80" s="40"/>
      <c r="S80" s="36"/>
      <c r="T80" s="37"/>
      <c r="U80" s="41"/>
    </row>
    <row r="81" ht="12.75" customHeight="1">
      <c r="A81" s="36"/>
      <c r="B81" s="37"/>
      <c r="C81" s="38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9"/>
      <c r="Q81" s="40"/>
      <c r="R81" s="40"/>
      <c r="S81" s="36"/>
      <c r="T81" s="37"/>
      <c r="U81" s="41"/>
    </row>
    <row r="82" ht="12.75" customHeight="1">
      <c r="A82" s="36"/>
      <c r="B82" s="37"/>
      <c r="C82" s="38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9"/>
      <c r="Q82" s="40"/>
      <c r="R82" s="40"/>
      <c r="S82" s="36"/>
      <c r="T82" s="37"/>
      <c r="U82" s="41"/>
    </row>
    <row r="83" ht="12.75" customHeight="1">
      <c r="A83" s="36"/>
      <c r="B83" s="37"/>
      <c r="C83" s="38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9"/>
      <c r="Q83" s="40"/>
      <c r="R83" s="40"/>
      <c r="S83" s="36"/>
      <c r="T83" s="37"/>
      <c r="U83" s="41"/>
    </row>
    <row r="84" ht="12.75" customHeight="1">
      <c r="A84" s="36"/>
      <c r="B84" s="37"/>
      <c r="C84" s="38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9"/>
      <c r="Q84" s="40"/>
      <c r="R84" s="40"/>
      <c r="S84" s="36"/>
      <c r="T84" s="37"/>
      <c r="U84" s="41"/>
    </row>
    <row r="85" ht="12.75" customHeight="1">
      <c r="A85" s="36"/>
      <c r="B85" s="37"/>
      <c r="C85" s="38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9"/>
      <c r="Q85" s="40"/>
      <c r="R85" s="40"/>
      <c r="S85" s="36"/>
      <c r="T85" s="37"/>
      <c r="U85" s="41"/>
    </row>
    <row r="86" ht="12.75" customHeight="1">
      <c r="A86" s="36"/>
      <c r="B86" s="37"/>
      <c r="C86" s="38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9"/>
      <c r="Q86" s="40"/>
      <c r="R86" s="40"/>
      <c r="S86" s="36"/>
      <c r="T86" s="37"/>
      <c r="U86" s="41"/>
    </row>
    <row r="87" ht="12.75" customHeight="1">
      <c r="A87" s="36"/>
      <c r="B87" s="37"/>
      <c r="C87" s="38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9"/>
      <c r="Q87" s="40"/>
      <c r="R87" s="40"/>
      <c r="S87" s="36"/>
      <c r="T87" s="37"/>
      <c r="U87" s="41"/>
    </row>
    <row r="88" ht="12.75" customHeight="1">
      <c r="A88" s="36"/>
      <c r="B88" s="37"/>
      <c r="C88" s="3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9"/>
      <c r="Q88" s="40"/>
      <c r="R88" s="40"/>
      <c r="S88" s="36"/>
      <c r="T88" s="37"/>
      <c r="U88" s="41"/>
    </row>
    <row r="89" ht="12.75" customHeight="1">
      <c r="A89" s="36"/>
      <c r="B89" s="37"/>
      <c r="C89" s="3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9"/>
      <c r="Q89" s="40"/>
      <c r="R89" s="40"/>
      <c r="S89" s="36"/>
      <c r="T89" s="37"/>
      <c r="U89" s="41"/>
    </row>
    <row r="90" ht="12.75" customHeight="1">
      <c r="A90" s="36"/>
      <c r="B90" s="37"/>
      <c r="C90" s="3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9"/>
      <c r="Q90" s="40"/>
      <c r="R90" s="40"/>
      <c r="S90" s="36"/>
      <c r="T90" s="37"/>
      <c r="U90" s="41"/>
    </row>
    <row r="91" ht="12.75" customHeight="1">
      <c r="A91" s="36"/>
      <c r="B91" s="37"/>
      <c r="C91" s="38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9"/>
      <c r="Q91" s="40"/>
      <c r="R91" s="40"/>
      <c r="S91" s="36"/>
      <c r="T91" s="37"/>
      <c r="U91" s="41"/>
    </row>
    <row r="92" ht="12.75" customHeight="1">
      <c r="A92" s="36"/>
      <c r="B92" s="37"/>
      <c r="C92" s="3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9"/>
      <c r="Q92" s="40"/>
      <c r="R92" s="40"/>
      <c r="S92" s="36"/>
      <c r="T92" s="37"/>
      <c r="U92" s="41"/>
    </row>
    <row r="93" ht="12.75" customHeight="1">
      <c r="A93" s="36"/>
      <c r="B93" s="37"/>
      <c r="C93" s="38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9"/>
      <c r="Q93" s="40"/>
      <c r="R93" s="40"/>
      <c r="S93" s="36"/>
      <c r="T93" s="37"/>
      <c r="U93" s="41"/>
    </row>
    <row r="94" ht="12.75" customHeight="1">
      <c r="A94" s="36"/>
      <c r="B94" s="37"/>
      <c r="C94" s="3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9"/>
      <c r="Q94" s="40"/>
      <c r="R94" s="40"/>
      <c r="S94" s="36"/>
      <c r="T94" s="37"/>
      <c r="U94" s="41"/>
    </row>
    <row r="95" ht="12.75" customHeight="1">
      <c r="A95" s="36"/>
      <c r="B95" s="37"/>
      <c r="C95" s="38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9"/>
      <c r="Q95" s="40"/>
      <c r="R95" s="40"/>
      <c r="S95" s="36"/>
      <c r="T95" s="37"/>
      <c r="U95" s="41"/>
    </row>
    <row r="96" ht="12.75" customHeight="1">
      <c r="A96" s="36"/>
      <c r="B96" s="37"/>
      <c r="C96" s="38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9"/>
      <c r="Q96" s="40"/>
      <c r="R96" s="40"/>
      <c r="S96" s="36"/>
      <c r="T96" s="37"/>
      <c r="U96" s="41"/>
    </row>
    <row r="97" ht="12.75" customHeight="1">
      <c r="A97" s="36"/>
      <c r="B97" s="37"/>
      <c r="C97" s="38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9"/>
      <c r="Q97" s="40"/>
      <c r="R97" s="40"/>
      <c r="S97" s="36"/>
      <c r="T97" s="37"/>
      <c r="U97" s="41"/>
    </row>
    <row r="98" ht="12.75" customHeight="1">
      <c r="A98" s="36"/>
      <c r="B98" s="37"/>
      <c r="C98" s="38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9"/>
      <c r="Q98" s="40"/>
      <c r="R98" s="40"/>
      <c r="S98" s="36"/>
      <c r="T98" s="37"/>
      <c r="U98" s="41"/>
    </row>
    <row r="99" ht="12.75" customHeight="1">
      <c r="A99" s="36"/>
      <c r="B99" s="37"/>
      <c r="C99" s="38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9"/>
      <c r="Q99" s="40"/>
      <c r="R99" s="40"/>
      <c r="S99" s="36"/>
      <c r="T99" s="37"/>
      <c r="U99" s="41"/>
    </row>
    <row r="100" ht="12.75" customHeight="1">
      <c r="A100" s="36"/>
      <c r="B100" s="37"/>
      <c r="C100" s="38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9"/>
      <c r="Q100" s="40"/>
      <c r="R100" s="40"/>
      <c r="S100" s="36"/>
      <c r="T100" s="37"/>
      <c r="U100" s="41"/>
    </row>
    <row r="101" ht="12.75" customHeight="1">
      <c r="A101" s="36"/>
      <c r="B101" s="37"/>
      <c r="C101" s="38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9"/>
      <c r="Q101" s="40"/>
      <c r="R101" s="40"/>
      <c r="S101" s="36"/>
      <c r="T101" s="37"/>
      <c r="U101" s="41"/>
    </row>
    <row r="102" ht="12.75" customHeight="1">
      <c r="A102" s="36"/>
      <c r="B102" s="37"/>
      <c r="C102" s="38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9"/>
      <c r="Q102" s="40"/>
      <c r="R102" s="40"/>
      <c r="S102" s="36"/>
      <c r="T102" s="37"/>
      <c r="U102" s="41"/>
    </row>
    <row r="103" ht="12.75" customHeight="1">
      <c r="A103" s="36"/>
      <c r="B103" s="37"/>
      <c r="C103" s="38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9"/>
      <c r="Q103" s="40"/>
      <c r="R103" s="40"/>
      <c r="S103" s="36"/>
      <c r="T103" s="37"/>
      <c r="U103" s="41"/>
    </row>
    <row r="104" ht="12.75" customHeight="1">
      <c r="A104" s="36"/>
      <c r="B104" s="37"/>
      <c r="C104" s="38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9"/>
      <c r="Q104" s="40"/>
      <c r="R104" s="40"/>
      <c r="S104" s="36"/>
      <c r="T104" s="37"/>
      <c r="U104" s="41"/>
    </row>
    <row r="105" ht="12.75" customHeight="1">
      <c r="A105" s="36"/>
      <c r="B105" s="37"/>
      <c r="C105" s="38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9"/>
      <c r="Q105" s="40"/>
      <c r="R105" s="40"/>
      <c r="S105" s="36"/>
      <c r="T105" s="37"/>
      <c r="U105" s="41"/>
    </row>
    <row r="106" ht="12.75" customHeight="1">
      <c r="A106" s="36"/>
      <c r="B106" s="37"/>
      <c r="C106" s="38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9"/>
      <c r="Q106" s="40"/>
      <c r="R106" s="40"/>
      <c r="S106" s="36"/>
      <c r="T106" s="37"/>
      <c r="U106" s="41"/>
    </row>
    <row r="107" ht="12.75" customHeight="1">
      <c r="A107" s="36"/>
      <c r="B107" s="37"/>
      <c r="C107" s="38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9"/>
      <c r="Q107" s="40"/>
      <c r="R107" s="40"/>
      <c r="S107" s="36"/>
      <c r="T107" s="37"/>
      <c r="U107" s="41"/>
    </row>
    <row r="108" ht="12.75" customHeight="1">
      <c r="A108" s="36"/>
      <c r="B108" s="37"/>
      <c r="C108" s="38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9"/>
      <c r="Q108" s="40"/>
      <c r="R108" s="40"/>
      <c r="S108" s="36"/>
      <c r="T108" s="37"/>
      <c r="U108" s="41"/>
    </row>
    <row r="109" ht="12.75" customHeight="1">
      <c r="A109" s="36"/>
      <c r="B109" s="37"/>
      <c r="C109" s="38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9"/>
      <c r="Q109" s="40"/>
      <c r="R109" s="40"/>
      <c r="S109" s="36"/>
      <c r="T109" s="37"/>
      <c r="U109" s="41"/>
    </row>
    <row r="110" ht="12.75" customHeight="1">
      <c r="A110" s="36"/>
      <c r="B110" s="37"/>
      <c r="C110" s="38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9"/>
      <c r="Q110" s="40"/>
      <c r="R110" s="40"/>
      <c r="S110" s="36"/>
      <c r="T110" s="37"/>
      <c r="U110" s="41"/>
    </row>
    <row r="111" ht="12.75" customHeight="1">
      <c r="A111" s="36"/>
      <c r="B111" s="37"/>
      <c r="C111" s="38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9"/>
      <c r="Q111" s="40"/>
      <c r="R111" s="40"/>
      <c r="S111" s="36"/>
      <c r="T111" s="37"/>
      <c r="U111" s="41"/>
    </row>
    <row r="112" ht="12.75" customHeight="1">
      <c r="A112" s="36"/>
      <c r="B112" s="37"/>
      <c r="C112" s="38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9"/>
      <c r="Q112" s="40"/>
      <c r="R112" s="40"/>
      <c r="S112" s="36"/>
      <c r="T112" s="37"/>
      <c r="U112" s="41"/>
    </row>
    <row r="113" ht="12.75" customHeight="1">
      <c r="A113" s="36"/>
      <c r="B113" s="37"/>
      <c r="C113" s="38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9"/>
      <c r="Q113" s="40"/>
      <c r="R113" s="40"/>
      <c r="S113" s="36"/>
      <c r="T113" s="37"/>
      <c r="U113" s="41"/>
    </row>
    <row r="114" ht="12.75" customHeight="1">
      <c r="A114" s="36"/>
      <c r="B114" s="37"/>
      <c r="C114" s="38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9"/>
      <c r="Q114" s="40"/>
      <c r="R114" s="40"/>
      <c r="S114" s="36"/>
      <c r="T114" s="37"/>
      <c r="U114" s="41"/>
    </row>
    <row r="115" ht="12.75" customHeight="1">
      <c r="A115" s="36"/>
      <c r="B115" s="37"/>
      <c r="C115" s="38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9"/>
      <c r="Q115" s="40"/>
      <c r="R115" s="40"/>
      <c r="S115" s="36"/>
      <c r="T115" s="37"/>
      <c r="U115" s="41"/>
    </row>
    <row r="116" ht="12.75" customHeight="1">
      <c r="A116" s="36"/>
      <c r="B116" s="37"/>
      <c r="C116" s="3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9"/>
      <c r="Q116" s="40"/>
      <c r="R116" s="40"/>
      <c r="S116" s="36"/>
      <c r="T116" s="37"/>
      <c r="U116" s="41"/>
    </row>
    <row r="117" ht="12.75" customHeight="1">
      <c r="A117" s="36"/>
      <c r="B117" s="37"/>
      <c r="C117" s="38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9"/>
      <c r="Q117" s="40"/>
      <c r="R117" s="40"/>
      <c r="S117" s="36"/>
      <c r="T117" s="37"/>
      <c r="U117" s="41"/>
    </row>
    <row r="118" ht="12.75" customHeight="1">
      <c r="A118" s="36"/>
      <c r="B118" s="37"/>
      <c r="C118" s="38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9"/>
      <c r="Q118" s="40"/>
      <c r="R118" s="40"/>
      <c r="S118" s="36"/>
      <c r="T118" s="37"/>
      <c r="U118" s="41"/>
    </row>
    <row r="119" ht="12.75" customHeight="1">
      <c r="A119" s="36"/>
      <c r="B119" s="37"/>
      <c r="C119" s="38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9"/>
      <c r="Q119" s="40"/>
      <c r="R119" s="40"/>
      <c r="S119" s="36"/>
      <c r="T119" s="37"/>
      <c r="U119" s="41"/>
    </row>
    <row r="120" ht="12.75" customHeight="1">
      <c r="A120" s="36"/>
      <c r="B120" s="37"/>
      <c r="C120" s="38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9"/>
      <c r="Q120" s="40"/>
      <c r="R120" s="40"/>
      <c r="S120" s="36"/>
      <c r="T120" s="37"/>
      <c r="U120" s="41"/>
    </row>
    <row r="121" ht="12.75" customHeight="1">
      <c r="A121" s="36"/>
      <c r="B121" s="37"/>
      <c r="C121" s="38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9"/>
      <c r="Q121" s="40"/>
      <c r="R121" s="40"/>
      <c r="S121" s="36"/>
      <c r="T121" s="37"/>
      <c r="U121" s="41"/>
    </row>
    <row r="122" ht="12.75" customHeight="1">
      <c r="A122" s="36"/>
      <c r="B122" s="37"/>
      <c r="C122" s="38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9"/>
      <c r="Q122" s="40"/>
      <c r="R122" s="40"/>
      <c r="S122" s="36"/>
      <c r="T122" s="37"/>
      <c r="U122" s="41"/>
    </row>
    <row r="123" ht="12.75" customHeight="1">
      <c r="A123" s="36"/>
      <c r="B123" s="37"/>
      <c r="C123" s="38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9"/>
      <c r="Q123" s="40"/>
      <c r="R123" s="40"/>
      <c r="S123" s="36"/>
      <c r="T123" s="37"/>
      <c r="U123" s="41"/>
    </row>
    <row r="124" ht="12.75" customHeight="1">
      <c r="A124" s="36"/>
      <c r="B124" s="37"/>
      <c r="C124" s="38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9"/>
      <c r="Q124" s="40"/>
      <c r="R124" s="40"/>
      <c r="S124" s="36"/>
      <c r="T124" s="37"/>
      <c r="U124" s="41"/>
    </row>
    <row r="125" ht="12.75" customHeight="1">
      <c r="A125" s="36"/>
      <c r="B125" s="37"/>
      <c r="C125" s="38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9"/>
      <c r="Q125" s="40"/>
      <c r="R125" s="40"/>
      <c r="S125" s="36"/>
      <c r="T125" s="37"/>
      <c r="U125" s="41"/>
    </row>
    <row r="126" ht="12.75" customHeight="1">
      <c r="A126" s="36"/>
      <c r="B126" s="37"/>
      <c r="C126" s="38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9"/>
      <c r="Q126" s="40"/>
      <c r="R126" s="40"/>
      <c r="S126" s="36"/>
      <c r="T126" s="37"/>
      <c r="U126" s="41"/>
    </row>
    <row r="127" ht="12.75" customHeight="1">
      <c r="A127" s="36"/>
      <c r="B127" s="37"/>
      <c r="C127" s="38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9"/>
      <c r="Q127" s="40"/>
      <c r="R127" s="40"/>
      <c r="S127" s="36"/>
      <c r="T127" s="37"/>
      <c r="U127" s="41"/>
    </row>
    <row r="128" ht="12.75" customHeight="1">
      <c r="A128" s="36"/>
      <c r="B128" s="37"/>
      <c r="C128" s="38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9"/>
      <c r="Q128" s="40"/>
      <c r="R128" s="40"/>
      <c r="S128" s="36"/>
      <c r="T128" s="37"/>
      <c r="U128" s="41"/>
    </row>
    <row r="129" ht="12.75" customHeight="1">
      <c r="A129" s="36"/>
      <c r="B129" s="37"/>
      <c r="C129" s="38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9"/>
      <c r="Q129" s="40"/>
      <c r="R129" s="40"/>
      <c r="S129" s="36"/>
      <c r="T129" s="37"/>
      <c r="U129" s="41"/>
    </row>
    <row r="130" ht="12.75" customHeight="1">
      <c r="A130" s="36"/>
      <c r="B130" s="37"/>
      <c r="C130" s="38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9"/>
      <c r="Q130" s="40"/>
      <c r="R130" s="40"/>
      <c r="S130" s="36"/>
      <c r="T130" s="37"/>
      <c r="U130" s="41"/>
    </row>
    <row r="131" ht="12.75" customHeight="1">
      <c r="A131" s="36"/>
      <c r="B131" s="37"/>
      <c r="C131" s="38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9"/>
      <c r="Q131" s="40"/>
      <c r="R131" s="40"/>
      <c r="S131" s="36"/>
      <c r="T131" s="37"/>
      <c r="U131" s="41"/>
    </row>
    <row r="132" ht="12.75" customHeight="1">
      <c r="A132" s="36"/>
      <c r="B132" s="37"/>
      <c r="C132" s="38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9"/>
      <c r="Q132" s="40"/>
      <c r="R132" s="40"/>
      <c r="S132" s="36"/>
      <c r="T132" s="37"/>
      <c r="U132" s="41"/>
    </row>
    <row r="133" ht="12.75" customHeight="1">
      <c r="A133" s="36"/>
      <c r="B133" s="37"/>
      <c r="C133" s="38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9"/>
      <c r="Q133" s="40"/>
      <c r="R133" s="40"/>
      <c r="S133" s="36"/>
      <c r="T133" s="37"/>
      <c r="U133" s="41"/>
    </row>
    <row r="134" ht="12.75" customHeight="1">
      <c r="A134" s="36"/>
      <c r="B134" s="37"/>
      <c r="C134" s="38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9"/>
      <c r="Q134" s="40"/>
      <c r="R134" s="40"/>
      <c r="S134" s="36"/>
      <c r="T134" s="37"/>
      <c r="U134" s="41"/>
    </row>
    <row r="135" ht="12.75" customHeight="1">
      <c r="A135" s="36"/>
      <c r="B135" s="37"/>
      <c r="C135" s="38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9"/>
      <c r="Q135" s="40"/>
      <c r="R135" s="40"/>
      <c r="S135" s="36"/>
      <c r="T135" s="37"/>
      <c r="U135" s="41"/>
    </row>
    <row r="136" ht="12.75" customHeight="1">
      <c r="A136" s="36"/>
      <c r="B136" s="37"/>
      <c r="C136" s="38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9"/>
      <c r="Q136" s="40"/>
      <c r="R136" s="40"/>
      <c r="S136" s="36"/>
      <c r="T136" s="37"/>
      <c r="U136" s="41"/>
    </row>
    <row r="137" ht="12.75" customHeight="1">
      <c r="A137" s="36"/>
      <c r="B137" s="37"/>
      <c r="C137" s="38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9"/>
      <c r="Q137" s="40"/>
      <c r="R137" s="40"/>
      <c r="S137" s="36"/>
      <c r="T137" s="37"/>
      <c r="U137" s="41"/>
    </row>
    <row r="138" ht="12.75" customHeight="1">
      <c r="A138" s="36"/>
      <c r="B138" s="37"/>
      <c r="C138" s="38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9"/>
      <c r="Q138" s="40"/>
      <c r="R138" s="40"/>
      <c r="S138" s="36"/>
      <c r="T138" s="37"/>
      <c r="U138" s="41"/>
    </row>
    <row r="139" ht="12.75" customHeight="1">
      <c r="A139" s="36"/>
      <c r="B139" s="37"/>
      <c r="C139" s="38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9"/>
      <c r="Q139" s="40"/>
      <c r="R139" s="40"/>
      <c r="S139" s="36"/>
      <c r="T139" s="37"/>
      <c r="U139" s="41"/>
    </row>
    <row r="140" ht="12.75" customHeight="1">
      <c r="A140" s="36"/>
      <c r="B140" s="37"/>
      <c r="C140" s="38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9"/>
      <c r="Q140" s="40"/>
      <c r="R140" s="40"/>
      <c r="S140" s="36"/>
      <c r="T140" s="37"/>
      <c r="U140" s="41"/>
    </row>
    <row r="141" ht="12.75" customHeight="1">
      <c r="A141" s="36"/>
      <c r="B141" s="37"/>
      <c r="C141" s="38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9"/>
      <c r="Q141" s="40"/>
      <c r="R141" s="40"/>
      <c r="S141" s="36"/>
      <c r="T141" s="37"/>
      <c r="U141" s="41"/>
    </row>
    <row r="142" ht="12.75" customHeight="1">
      <c r="A142" s="36"/>
      <c r="B142" s="37"/>
      <c r="C142" s="38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9"/>
      <c r="Q142" s="40"/>
      <c r="R142" s="40"/>
      <c r="S142" s="36"/>
      <c r="T142" s="37"/>
      <c r="U142" s="41"/>
    </row>
    <row r="143" ht="12.75" customHeight="1">
      <c r="A143" s="36"/>
      <c r="B143" s="37"/>
      <c r="C143" s="38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9"/>
      <c r="Q143" s="40"/>
      <c r="R143" s="40"/>
      <c r="S143" s="36"/>
      <c r="T143" s="37"/>
      <c r="U143" s="41"/>
    </row>
    <row r="144" ht="12.75" customHeight="1">
      <c r="A144" s="36"/>
      <c r="B144" s="37"/>
      <c r="C144" s="38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9"/>
      <c r="Q144" s="40"/>
      <c r="R144" s="40"/>
      <c r="S144" s="36"/>
      <c r="T144" s="37"/>
      <c r="U144" s="41"/>
    </row>
    <row r="145" ht="12.75" customHeight="1">
      <c r="A145" s="36"/>
      <c r="B145" s="37"/>
      <c r="C145" s="38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9"/>
      <c r="Q145" s="40"/>
      <c r="R145" s="40"/>
      <c r="S145" s="36"/>
      <c r="T145" s="37"/>
      <c r="U145" s="41"/>
    </row>
    <row r="146" ht="12.75" customHeight="1">
      <c r="A146" s="36"/>
      <c r="B146" s="37"/>
      <c r="C146" s="38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9"/>
      <c r="Q146" s="40"/>
      <c r="R146" s="40"/>
      <c r="S146" s="36"/>
      <c r="T146" s="37"/>
      <c r="U146" s="41"/>
    </row>
    <row r="147" ht="12.75" customHeight="1">
      <c r="A147" s="36"/>
      <c r="B147" s="37"/>
      <c r="C147" s="38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9"/>
      <c r="Q147" s="40"/>
      <c r="R147" s="40"/>
      <c r="S147" s="36"/>
      <c r="T147" s="37"/>
      <c r="U147" s="41"/>
    </row>
    <row r="148" ht="12.75" customHeight="1">
      <c r="A148" s="36"/>
      <c r="B148" s="37"/>
      <c r="C148" s="38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9"/>
      <c r="Q148" s="40"/>
      <c r="R148" s="40"/>
      <c r="S148" s="36"/>
      <c r="T148" s="37"/>
      <c r="U148" s="41"/>
    </row>
    <row r="149" ht="12.75" customHeight="1">
      <c r="A149" s="36"/>
      <c r="B149" s="37"/>
      <c r="C149" s="38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9"/>
      <c r="Q149" s="40"/>
      <c r="R149" s="40"/>
      <c r="S149" s="36"/>
      <c r="T149" s="37"/>
      <c r="U149" s="41"/>
    </row>
    <row r="150" ht="12.75" customHeight="1">
      <c r="A150" s="36"/>
      <c r="B150" s="37"/>
      <c r="C150" s="38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9"/>
      <c r="Q150" s="40"/>
      <c r="R150" s="40"/>
      <c r="S150" s="36"/>
      <c r="T150" s="37"/>
      <c r="U150" s="41"/>
    </row>
    <row r="151" ht="12.75" customHeight="1">
      <c r="A151" s="36"/>
      <c r="B151" s="37"/>
      <c r="C151" s="38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9"/>
      <c r="Q151" s="40"/>
      <c r="R151" s="40"/>
      <c r="S151" s="36"/>
      <c r="T151" s="37"/>
      <c r="U151" s="41"/>
    </row>
    <row r="152" ht="12.75" customHeight="1">
      <c r="A152" s="36"/>
      <c r="B152" s="37"/>
      <c r="C152" s="38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9"/>
      <c r="Q152" s="40"/>
      <c r="R152" s="40"/>
      <c r="S152" s="36"/>
      <c r="T152" s="37"/>
      <c r="U152" s="41"/>
    </row>
    <row r="153" ht="12.75" customHeight="1">
      <c r="A153" s="36"/>
      <c r="B153" s="37"/>
      <c r="C153" s="38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9"/>
      <c r="Q153" s="40"/>
      <c r="R153" s="40"/>
      <c r="S153" s="36"/>
      <c r="T153" s="37"/>
      <c r="U153" s="41"/>
    </row>
    <row r="154" ht="12.75" customHeight="1">
      <c r="A154" s="36"/>
      <c r="B154" s="37"/>
      <c r="C154" s="38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9"/>
      <c r="Q154" s="40"/>
      <c r="R154" s="40"/>
      <c r="S154" s="36"/>
      <c r="T154" s="37"/>
      <c r="U154" s="41"/>
    </row>
    <row r="155" ht="12.75" customHeight="1">
      <c r="A155" s="36"/>
      <c r="B155" s="37"/>
      <c r="C155" s="38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9"/>
      <c r="Q155" s="40"/>
      <c r="R155" s="40"/>
      <c r="S155" s="36"/>
      <c r="T155" s="37"/>
      <c r="U155" s="41"/>
    </row>
    <row r="156" ht="12.75" customHeight="1">
      <c r="A156" s="36"/>
      <c r="B156" s="37"/>
      <c r="C156" s="38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9"/>
      <c r="Q156" s="40"/>
      <c r="R156" s="40"/>
      <c r="S156" s="36"/>
      <c r="T156" s="37"/>
      <c r="U156" s="41"/>
    </row>
    <row r="157" ht="12.75" customHeight="1">
      <c r="A157" s="36"/>
      <c r="B157" s="37"/>
      <c r="C157" s="38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9"/>
      <c r="Q157" s="40"/>
      <c r="R157" s="40"/>
      <c r="S157" s="36"/>
      <c r="T157" s="37"/>
      <c r="U157" s="41"/>
    </row>
    <row r="158" ht="12.75" customHeight="1">
      <c r="A158" s="36"/>
      <c r="B158" s="37"/>
      <c r="C158" s="38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9"/>
      <c r="Q158" s="40"/>
      <c r="R158" s="40"/>
      <c r="S158" s="36"/>
      <c r="T158" s="37"/>
      <c r="U158" s="41"/>
    </row>
    <row r="159" ht="12.75" customHeight="1">
      <c r="A159" s="36"/>
      <c r="B159" s="37"/>
      <c r="C159" s="38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9"/>
      <c r="Q159" s="40"/>
      <c r="R159" s="40"/>
      <c r="S159" s="36"/>
      <c r="T159" s="37"/>
      <c r="U159" s="41"/>
    </row>
    <row r="160" ht="12.75" customHeight="1">
      <c r="A160" s="36"/>
      <c r="B160" s="37"/>
      <c r="C160" s="38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9"/>
      <c r="Q160" s="40"/>
      <c r="R160" s="40"/>
      <c r="S160" s="36"/>
      <c r="T160" s="37"/>
      <c r="U160" s="41"/>
    </row>
    <row r="161" ht="12.75" customHeight="1">
      <c r="A161" s="36"/>
      <c r="B161" s="37"/>
      <c r="C161" s="38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9"/>
      <c r="Q161" s="40"/>
      <c r="R161" s="40"/>
      <c r="S161" s="36"/>
      <c r="T161" s="37"/>
      <c r="U161" s="41"/>
    </row>
    <row r="162" ht="12.75" customHeight="1">
      <c r="A162" s="36"/>
      <c r="B162" s="37"/>
      <c r="C162" s="38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9"/>
      <c r="Q162" s="40"/>
      <c r="R162" s="40"/>
      <c r="S162" s="36"/>
      <c r="T162" s="37"/>
      <c r="U162" s="41"/>
    </row>
    <row r="163" ht="12.75" customHeight="1">
      <c r="A163" s="36"/>
      <c r="B163" s="37"/>
      <c r="C163" s="38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9"/>
      <c r="Q163" s="40"/>
      <c r="R163" s="40"/>
      <c r="S163" s="36"/>
      <c r="T163" s="37"/>
      <c r="U163" s="41"/>
    </row>
    <row r="164" ht="12.75" customHeight="1">
      <c r="A164" s="36"/>
      <c r="B164" s="37"/>
      <c r="C164" s="38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9"/>
      <c r="Q164" s="40"/>
      <c r="R164" s="40"/>
      <c r="S164" s="36"/>
      <c r="T164" s="37"/>
      <c r="U164" s="41"/>
    </row>
    <row r="165" ht="12.75" customHeight="1">
      <c r="A165" s="36"/>
      <c r="B165" s="37"/>
      <c r="C165" s="38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9"/>
      <c r="Q165" s="40"/>
      <c r="R165" s="40"/>
      <c r="S165" s="36"/>
      <c r="T165" s="37"/>
      <c r="U165" s="41"/>
    </row>
    <row r="166" ht="12.75" customHeight="1">
      <c r="A166" s="36"/>
      <c r="B166" s="37"/>
      <c r="C166" s="38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9"/>
      <c r="Q166" s="40"/>
      <c r="R166" s="40"/>
      <c r="S166" s="36"/>
      <c r="T166" s="37"/>
      <c r="U166" s="41"/>
    </row>
    <row r="167" ht="12.75" customHeight="1">
      <c r="A167" s="36"/>
      <c r="B167" s="37"/>
      <c r="C167" s="38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9"/>
      <c r="Q167" s="40"/>
      <c r="R167" s="40"/>
      <c r="S167" s="36"/>
      <c r="T167" s="37"/>
      <c r="U167" s="41"/>
    </row>
    <row r="168" ht="12.75" customHeight="1">
      <c r="A168" s="36"/>
      <c r="B168" s="37"/>
      <c r="C168" s="38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9"/>
      <c r="Q168" s="40"/>
      <c r="R168" s="40"/>
      <c r="S168" s="36"/>
      <c r="T168" s="37"/>
      <c r="U168" s="41"/>
    </row>
    <row r="169" ht="12.75" customHeight="1">
      <c r="A169" s="36"/>
      <c r="B169" s="37"/>
      <c r="C169" s="38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9"/>
      <c r="Q169" s="40"/>
      <c r="R169" s="40"/>
      <c r="S169" s="36"/>
      <c r="T169" s="37"/>
      <c r="U169" s="41"/>
    </row>
    <row r="170" ht="12.75" customHeight="1">
      <c r="A170" s="36"/>
      <c r="B170" s="37"/>
      <c r="C170" s="38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9"/>
      <c r="Q170" s="40"/>
      <c r="R170" s="40"/>
      <c r="S170" s="36"/>
      <c r="T170" s="37"/>
      <c r="U170" s="41"/>
    </row>
    <row r="171" ht="12.75" customHeight="1">
      <c r="A171" s="36"/>
      <c r="B171" s="37"/>
      <c r="C171" s="38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9"/>
      <c r="Q171" s="40"/>
      <c r="R171" s="40"/>
      <c r="S171" s="36"/>
      <c r="T171" s="37"/>
      <c r="U171" s="41"/>
    </row>
    <row r="172" ht="12.75" customHeight="1">
      <c r="A172" s="36"/>
      <c r="B172" s="37"/>
      <c r="C172" s="38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9"/>
      <c r="Q172" s="40"/>
      <c r="R172" s="40"/>
      <c r="S172" s="36"/>
      <c r="T172" s="37"/>
      <c r="U172" s="41"/>
    </row>
    <row r="173" ht="12.75" customHeight="1">
      <c r="A173" s="36"/>
      <c r="B173" s="37"/>
      <c r="C173" s="38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9"/>
      <c r="Q173" s="40"/>
      <c r="R173" s="40"/>
      <c r="S173" s="36"/>
      <c r="T173" s="37"/>
      <c r="U173" s="41"/>
    </row>
    <row r="174" ht="12.75" customHeight="1">
      <c r="A174" s="36"/>
      <c r="B174" s="37"/>
      <c r="C174" s="38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9"/>
      <c r="Q174" s="40"/>
      <c r="R174" s="40"/>
      <c r="S174" s="36"/>
      <c r="T174" s="37"/>
      <c r="U174" s="41"/>
    </row>
    <row r="175" ht="12.75" customHeight="1">
      <c r="A175" s="36"/>
      <c r="B175" s="37"/>
      <c r="C175" s="38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9"/>
      <c r="Q175" s="40"/>
      <c r="R175" s="40"/>
      <c r="S175" s="36"/>
      <c r="T175" s="37"/>
      <c r="U175" s="41"/>
    </row>
    <row r="176" ht="12.75" customHeight="1">
      <c r="A176" s="36"/>
      <c r="B176" s="37"/>
      <c r="C176" s="38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9"/>
      <c r="Q176" s="40"/>
      <c r="R176" s="40"/>
      <c r="S176" s="36"/>
      <c r="T176" s="37"/>
      <c r="U176" s="41"/>
    </row>
    <row r="177" ht="12.75" customHeight="1">
      <c r="A177" s="36"/>
      <c r="B177" s="37"/>
      <c r="C177" s="38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9"/>
      <c r="Q177" s="40"/>
      <c r="R177" s="40"/>
      <c r="S177" s="36"/>
      <c r="T177" s="37"/>
      <c r="U177" s="41"/>
    </row>
    <row r="178" ht="12.75" customHeight="1">
      <c r="A178" s="36"/>
      <c r="B178" s="37"/>
      <c r="C178" s="38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9"/>
      <c r="Q178" s="40"/>
      <c r="R178" s="40"/>
      <c r="S178" s="36"/>
      <c r="T178" s="37"/>
      <c r="U178" s="41"/>
    </row>
    <row r="179" ht="12.75" customHeight="1">
      <c r="A179" s="36"/>
      <c r="B179" s="37"/>
      <c r="C179" s="38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9"/>
      <c r="Q179" s="40"/>
      <c r="R179" s="40"/>
      <c r="S179" s="36"/>
      <c r="T179" s="37"/>
      <c r="U179" s="41"/>
    </row>
    <row r="180" ht="12.75" customHeight="1">
      <c r="A180" s="36"/>
      <c r="B180" s="37"/>
      <c r="C180" s="38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9"/>
      <c r="Q180" s="40"/>
      <c r="R180" s="40"/>
      <c r="S180" s="36"/>
      <c r="T180" s="37"/>
      <c r="U180" s="41"/>
    </row>
    <row r="181" ht="12.75" customHeight="1">
      <c r="A181" s="36"/>
      <c r="B181" s="37"/>
      <c r="C181" s="38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9"/>
      <c r="Q181" s="40"/>
      <c r="R181" s="40"/>
      <c r="S181" s="36"/>
      <c r="T181" s="37"/>
      <c r="U181" s="41"/>
    </row>
    <row r="182" ht="12.75" customHeight="1">
      <c r="A182" s="36"/>
      <c r="B182" s="37"/>
      <c r="C182" s="38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9"/>
      <c r="Q182" s="40"/>
      <c r="R182" s="40"/>
      <c r="S182" s="36"/>
      <c r="T182" s="37"/>
      <c r="U182" s="41"/>
    </row>
    <row r="183" ht="12.75" customHeight="1">
      <c r="A183" s="36"/>
      <c r="B183" s="37"/>
      <c r="C183" s="38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9"/>
      <c r="Q183" s="40"/>
      <c r="R183" s="40"/>
      <c r="S183" s="36"/>
      <c r="T183" s="37"/>
      <c r="U183" s="41"/>
    </row>
    <row r="184" ht="12.75" customHeight="1">
      <c r="A184" s="36"/>
      <c r="B184" s="37"/>
      <c r="C184" s="38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9"/>
      <c r="Q184" s="40"/>
      <c r="R184" s="40"/>
      <c r="S184" s="36"/>
      <c r="T184" s="37"/>
      <c r="U184" s="41"/>
    </row>
    <row r="185" ht="12.75" customHeight="1">
      <c r="A185" s="36"/>
      <c r="B185" s="37"/>
      <c r="C185" s="38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9"/>
      <c r="Q185" s="40"/>
      <c r="R185" s="40"/>
      <c r="S185" s="36"/>
      <c r="T185" s="37"/>
      <c r="U185" s="41"/>
    </row>
    <row r="186" ht="12.75" customHeight="1">
      <c r="A186" s="36"/>
      <c r="B186" s="37"/>
      <c r="C186" s="38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9"/>
      <c r="Q186" s="40"/>
      <c r="R186" s="40"/>
      <c r="S186" s="36"/>
      <c r="T186" s="37"/>
      <c r="U186" s="41"/>
    </row>
    <row r="187" ht="12.75" customHeight="1">
      <c r="A187" s="36"/>
      <c r="B187" s="37"/>
      <c r="C187" s="38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9"/>
      <c r="Q187" s="40"/>
      <c r="R187" s="40"/>
      <c r="S187" s="36"/>
      <c r="T187" s="37"/>
      <c r="U187" s="41"/>
    </row>
    <row r="188" ht="12.75" customHeight="1">
      <c r="A188" s="36"/>
      <c r="B188" s="37"/>
      <c r="C188" s="38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9"/>
      <c r="Q188" s="40"/>
      <c r="R188" s="40"/>
      <c r="S188" s="36"/>
      <c r="T188" s="37"/>
      <c r="U188" s="41"/>
    </row>
    <row r="189" ht="12.75" customHeight="1">
      <c r="A189" s="36"/>
      <c r="B189" s="37"/>
      <c r="C189" s="38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9"/>
      <c r="Q189" s="40"/>
      <c r="R189" s="40"/>
      <c r="S189" s="36"/>
      <c r="T189" s="37"/>
      <c r="U189" s="41"/>
    </row>
    <row r="190" ht="12.75" customHeight="1">
      <c r="A190" s="36"/>
      <c r="B190" s="37"/>
      <c r="C190" s="38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9"/>
      <c r="Q190" s="40"/>
      <c r="R190" s="40"/>
      <c r="S190" s="36"/>
      <c r="T190" s="37"/>
      <c r="U190" s="41"/>
    </row>
    <row r="191" ht="12.75" customHeight="1">
      <c r="A191" s="36"/>
      <c r="B191" s="37"/>
      <c r="C191" s="38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9"/>
      <c r="Q191" s="40"/>
      <c r="R191" s="40"/>
      <c r="S191" s="36"/>
      <c r="T191" s="37"/>
      <c r="U191" s="41"/>
    </row>
    <row r="192" ht="12.75" customHeight="1">
      <c r="A192" s="36"/>
      <c r="B192" s="37"/>
      <c r="C192" s="38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9"/>
      <c r="Q192" s="40"/>
      <c r="R192" s="40"/>
      <c r="S192" s="36"/>
      <c r="T192" s="37"/>
      <c r="U192" s="41"/>
    </row>
    <row r="193" ht="12.75" customHeight="1">
      <c r="A193" s="36"/>
      <c r="B193" s="37"/>
      <c r="C193" s="38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9"/>
      <c r="Q193" s="40"/>
      <c r="R193" s="40"/>
      <c r="S193" s="36"/>
      <c r="T193" s="37"/>
      <c r="U193" s="41"/>
    </row>
    <row r="194" ht="12.75" customHeight="1">
      <c r="A194" s="36"/>
      <c r="B194" s="37"/>
      <c r="C194" s="38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9"/>
      <c r="Q194" s="40"/>
      <c r="R194" s="40"/>
      <c r="S194" s="36"/>
      <c r="T194" s="37"/>
      <c r="U194" s="41"/>
    </row>
    <row r="195" ht="12.75" customHeight="1">
      <c r="A195" s="36"/>
      <c r="B195" s="37"/>
      <c r="C195" s="38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9"/>
      <c r="Q195" s="40"/>
      <c r="R195" s="40"/>
      <c r="S195" s="36"/>
      <c r="T195" s="37"/>
      <c r="U195" s="41"/>
    </row>
    <row r="196" ht="12.75" customHeight="1">
      <c r="A196" s="36"/>
      <c r="B196" s="37"/>
      <c r="C196" s="38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9"/>
      <c r="Q196" s="40"/>
      <c r="R196" s="40"/>
      <c r="S196" s="36"/>
      <c r="T196" s="37"/>
      <c r="U196" s="41"/>
    </row>
    <row r="197" ht="12.75" customHeight="1">
      <c r="A197" s="36"/>
      <c r="B197" s="37"/>
      <c r="C197" s="38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9"/>
      <c r="Q197" s="40"/>
      <c r="R197" s="40"/>
      <c r="S197" s="36"/>
      <c r="T197" s="37"/>
      <c r="U197" s="41"/>
    </row>
    <row r="198" ht="12.75" customHeight="1">
      <c r="A198" s="36"/>
      <c r="B198" s="37"/>
      <c r="C198" s="38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9"/>
      <c r="Q198" s="40"/>
      <c r="R198" s="40"/>
      <c r="S198" s="36"/>
      <c r="T198" s="37"/>
      <c r="U198" s="41"/>
    </row>
    <row r="199" ht="12.75" customHeight="1">
      <c r="A199" s="36"/>
      <c r="B199" s="37"/>
      <c r="C199" s="38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9"/>
      <c r="Q199" s="40"/>
      <c r="R199" s="40"/>
      <c r="S199" s="36"/>
      <c r="T199" s="37"/>
      <c r="U199" s="41"/>
    </row>
    <row r="200" ht="12.75" customHeight="1">
      <c r="A200" s="36"/>
      <c r="B200" s="37"/>
      <c r="C200" s="38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9"/>
      <c r="Q200" s="40"/>
      <c r="R200" s="40"/>
      <c r="S200" s="36"/>
      <c r="T200" s="37"/>
      <c r="U200" s="41"/>
    </row>
    <row r="201" ht="12.75" customHeight="1">
      <c r="A201" s="36"/>
      <c r="B201" s="37"/>
      <c r="C201" s="38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9"/>
      <c r="Q201" s="40"/>
      <c r="R201" s="40"/>
      <c r="S201" s="36"/>
      <c r="T201" s="37"/>
      <c r="U201" s="41"/>
    </row>
    <row r="202" ht="12.75" customHeight="1">
      <c r="A202" s="36"/>
      <c r="B202" s="37"/>
      <c r="C202" s="38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9"/>
      <c r="Q202" s="40"/>
      <c r="R202" s="40"/>
      <c r="S202" s="36"/>
      <c r="T202" s="37"/>
      <c r="U202" s="41"/>
    </row>
    <row r="203" ht="12.75" customHeight="1">
      <c r="A203" s="36"/>
      <c r="B203" s="37"/>
      <c r="C203" s="38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9"/>
      <c r="Q203" s="40"/>
      <c r="R203" s="40"/>
      <c r="S203" s="36"/>
      <c r="T203" s="37"/>
      <c r="U203" s="41"/>
    </row>
    <row r="204" ht="12.75" customHeight="1">
      <c r="A204" s="36"/>
      <c r="B204" s="37"/>
      <c r="C204" s="38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9"/>
      <c r="Q204" s="40"/>
      <c r="R204" s="40"/>
      <c r="S204" s="36"/>
      <c r="T204" s="37"/>
      <c r="U204" s="41"/>
    </row>
    <row r="205" ht="12.75" customHeight="1">
      <c r="A205" s="36"/>
      <c r="B205" s="37"/>
      <c r="C205" s="38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9"/>
      <c r="Q205" s="40"/>
      <c r="R205" s="40"/>
      <c r="S205" s="36"/>
      <c r="T205" s="37"/>
      <c r="U205" s="41"/>
    </row>
    <row r="206" ht="12.75" customHeight="1">
      <c r="A206" s="36"/>
      <c r="B206" s="37"/>
      <c r="C206" s="38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9"/>
      <c r="Q206" s="40"/>
      <c r="R206" s="40"/>
      <c r="S206" s="36"/>
      <c r="T206" s="37"/>
      <c r="U206" s="41"/>
    </row>
    <row r="207" ht="12.75" customHeight="1">
      <c r="A207" s="36"/>
      <c r="B207" s="37"/>
      <c r="C207" s="38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9"/>
      <c r="Q207" s="40"/>
      <c r="R207" s="40"/>
      <c r="S207" s="36"/>
      <c r="T207" s="37"/>
      <c r="U207" s="41"/>
    </row>
    <row r="208" ht="12.75" customHeight="1">
      <c r="A208" s="36"/>
      <c r="B208" s="37"/>
      <c r="C208" s="38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9"/>
      <c r="Q208" s="40"/>
      <c r="R208" s="40"/>
      <c r="S208" s="36"/>
      <c r="T208" s="37"/>
      <c r="U208" s="41"/>
    </row>
    <row r="209" ht="12.75" customHeight="1">
      <c r="A209" s="36"/>
      <c r="B209" s="37"/>
      <c r="C209" s="38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9"/>
      <c r="Q209" s="40"/>
      <c r="R209" s="40"/>
      <c r="S209" s="36"/>
      <c r="T209" s="37"/>
      <c r="U209" s="41"/>
    </row>
    <row r="210" ht="12.75" customHeight="1">
      <c r="A210" s="36"/>
      <c r="B210" s="37"/>
      <c r="C210" s="38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9"/>
      <c r="Q210" s="40"/>
      <c r="R210" s="40"/>
      <c r="S210" s="36"/>
      <c r="T210" s="37"/>
      <c r="U210" s="41"/>
    </row>
    <row r="211" ht="12.75" customHeight="1">
      <c r="A211" s="36"/>
      <c r="B211" s="37"/>
      <c r="C211" s="38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9"/>
      <c r="Q211" s="40"/>
      <c r="R211" s="40"/>
      <c r="S211" s="36"/>
      <c r="T211" s="37"/>
      <c r="U211" s="41"/>
    </row>
    <row r="212" ht="12.75" customHeight="1">
      <c r="A212" s="36"/>
      <c r="B212" s="37"/>
      <c r="C212" s="38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9"/>
      <c r="Q212" s="40"/>
      <c r="R212" s="40"/>
      <c r="S212" s="36"/>
      <c r="T212" s="37"/>
      <c r="U212" s="41"/>
    </row>
    <row r="213" ht="12.75" customHeight="1">
      <c r="A213" s="36"/>
      <c r="B213" s="37"/>
      <c r="C213" s="38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9"/>
      <c r="Q213" s="40"/>
      <c r="R213" s="40"/>
      <c r="S213" s="36"/>
      <c r="T213" s="37"/>
      <c r="U213" s="41"/>
    </row>
    <row r="214" ht="12.75" customHeight="1">
      <c r="A214" s="36"/>
      <c r="B214" s="37"/>
      <c r="C214" s="38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9"/>
      <c r="Q214" s="40"/>
      <c r="R214" s="40"/>
      <c r="S214" s="36"/>
      <c r="T214" s="37"/>
      <c r="U214" s="41"/>
    </row>
    <row r="215" ht="12.75" customHeight="1">
      <c r="A215" s="36"/>
      <c r="B215" s="37"/>
      <c r="C215" s="38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9"/>
      <c r="Q215" s="40"/>
      <c r="R215" s="40"/>
      <c r="S215" s="36"/>
      <c r="T215" s="37"/>
      <c r="U215" s="41"/>
    </row>
    <row r="216" ht="12.75" customHeight="1">
      <c r="A216" s="36"/>
      <c r="B216" s="37"/>
      <c r="C216" s="38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9"/>
      <c r="Q216" s="40"/>
      <c r="R216" s="40"/>
      <c r="S216" s="36"/>
      <c r="T216" s="37"/>
      <c r="U216" s="41"/>
    </row>
    <row r="217" ht="12.75" customHeight="1">
      <c r="A217" s="36"/>
      <c r="B217" s="37"/>
      <c r="C217" s="38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9"/>
      <c r="Q217" s="40"/>
      <c r="R217" s="40"/>
      <c r="S217" s="36"/>
      <c r="T217" s="37"/>
      <c r="U217" s="41"/>
    </row>
    <row r="218" ht="12.75" customHeight="1">
      <c r="A218" s="36"/>
      <c r="B218" s="37"/>
      <c r="C218" s="38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9"/>
      <c r="Q218" s="40"/>
      <c r="R218" s="40"/>
      <c r="S218" s="36"/>
      <c r="T218" s="37"/>
      <c r="U218" s="41"/>
    </row>
    <row r="219" ht="12.75" customHeight="1">
      <c r="A219" s="36"/>
      <c r="B219" s="37"/>
      <c r="C219" s="38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9"/>
      <c r="Q219" s="40"/>
      <c r="R219" s="40"/>
      <c r="S219" s="36"/>
      <c r="T219" s="37"/>
      <c r="U219" s="41"/>
    </row>
    <row r="220" ht="12.75" customHeight="1">
      <c r="A220" s="36"/>
      <c r="B220" s="37"/>
      <c r="C220" s="38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9"/>
      <c r="Q220" s="40"/>
      <c r="R220" s="40"/>
      <c r="S220" s="36"/>
      <c r="T220" s="37"/>
      <c r="U220" s="41"/>
    </row>
    <row r="221" ht="15.75" customHeight="1">
      <c r="A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</row>
    <row r="222" ht="15.75" customHeight="1">
      <c r="A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</row>
    <row r="223" ht="15.75" customHeight="1">
      <c r="A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</row>
    <row r="224" ht="15.75" customHeight="1">
      <c r="A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</row>
    <row r="225" ht="15.75" customHeight="1">
      <c r="A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</row>
    <row r="226" ht="15.75" customHeight="1">
      <c r="A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</row>
    <row r="227" ht="15.75" customHeight="1">
      <c r="A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</row>
    <row r="228" ht="15.75" customHeight="1">
      <c r="A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</row>
    <row r="229" ht="15.75" customHeight="1">
      <c r="A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</row>
    <row r="230" ht="15.75" customHeight="1">
      <c r="A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</row>
    <row r="231" ht="15.75" customHeight="1">
      <c r="A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</row>
    <row r="232" ht="15.75" customHeight="1">
      <c r="A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</row>
    <row r="233" ht="15.75" customHeight="1">
      <c r="A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</row>
    <row r="234" ht="15.75" customHeight="1">
      <c r="A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</row>
    <row r="235" ht="15.75" customHeight="1">
      <c r="A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</row>
    <row r="236" ht="15.75" customHeight="1">
      <c r="A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</row>
    <row r="237" ht="15.75" customHeight="1">
      <c r="A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</row>
    <row r="238" ht="15.75" customHeight="1">
      <c r="A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</row>
    <row r="239" ht="15.75" customHeight="1">
      <c r="A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</row>
    <row r="240" ht="15.75" customHeight="1">
      <c r="A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</row>
    <row r="241" ht="15.75" customHeight="1">
      <c r="A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</row>
    <row r="242" ht="15.75" customHeight="1">
      <c r="A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</row>
    <row r="243" ht="15.75" customHeight="1">
      <c r="A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</row>
    <row r="244" ht="15.75" customHeight="1">
      <c r="A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</row>
    <row r="245" ht="15.75" customHeight="1">
      <c r="A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</row>
    <row r="246" ht="15.75" customHeight="1">
      <c r="A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</row>
    <row r="247" ht="15.75" customHeight="1">
      <c r="A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</row>
    <row r="248" ht="15.75" customHeight="1">
      <c r="A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</row>
    <row r="249" ht="15.75" customHeight="1">
      <c r="A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</row>
    <row r="250" ht="15.75" customHeight="1">
      <c r="A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</row>
    <row r="251" ht="15.75" customHeight="1">
      <c r="A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</row>
    <row r="252" ht="15.75" customHeight="1">
      <c r="A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</row>
    <row r="253" ht="15.75" customHeight="1">
      <c r="A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</row>
    <row r="254" ht="15.75" customHeight="1">
      <c r="A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</row>
    <row r="255" ht="15.75" customHeight="1">
      <c r="A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</row>
    <row r="256" ht="15.75" customHeight="1">
      <c r="A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</row>
    <row r="257" ht="15.75" customHeight="1">
      <c r="A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</row>
    <row r="258" ht="15.75" customHeight="1">
      <c r="A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</row>
    <row r="259" ht="15.75" customHeight="1">
      <c r="A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</row>
    <row r="260" ht="15.75" customHeight="1">
      <c r="A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</row>
    <row r="261" ht="15.75" customHeight="1">
      <c r="A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</row>
    <row r="262" ht="15.75" customHeight="1">
      <c r="A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</row>
    <row r="263" ht="15.75" customHeight="1">
      <c r="A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</row>
    <row r="264" ht="15.75" customHeight="1">
      <c r="A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</row>
    <row r="265" ht="15.75" customHeight="1">
      <c r="A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</row>
    <row r="266" ht="15.75" customHeight="1">
      <c r="A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</row>
    <row r="267" ht="15.75" customHeight="1">
      <c r="A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</row>
    <row r="268" ht="15.75" customHeight="1">
      <c r="A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</row>
    <row r="269" ht="15.75" customHeight="1">
      <c r="A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</row>
    <row r="270" ht="15.75" customHeight="1">
      <c r="A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</row>
    <row r="271" ht="15.75" customHeight="1">
      <c r="A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</row>
    <row r="272" ht="15.75" customHeight="1">
      <c r="A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</row>
    <row r="273" ht="15.75" customHeight="1">
      <c r="A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</row>
    <row r="274" ht="15.75" customHeight="1">
      <c r="A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</row>
    <row r="275" ht="15.75" customHeight="1">
      <c r="A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</row>
    <row r="276" ht="15.75" customHeight="1">
      <c r="A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</row>
    <row r="277" ht="15.75" customHeight="1">
      <c r="A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</row>
    <row r="278" ht="15.75" customHeight="1">
      <c r="A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</row>
    <row r="279" ht="15.75" customHeight="1">
      <c r="A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</row>
    <row r="280" ht="15.75" customHeight="1">
      <c r="A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</row>
    <row r="281" ht="15.75" customHeight="1">
      <c r="A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</row>
    <row r="282" ht="15.75" customHeight="1">
      <c r="A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</row>
    <row r="283" ht="15.75" customHeight="1">
      <c r="A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</row>
    <row r="284" ht="15.75" customHeight="1">
      <c r="A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</row>
    <row r="285" ht="15.75" customHeight="1">
      <c r="A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</row>
    <row r="286" ht="15.75" customHeight="1">
      <c r="A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</row>
    <row r="287" ht="15.75" customHeight="1">
      <c r="A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</row>
    <row r="288" ht="15.75" customHeight="1">
      <c r="A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</row>
    <row r="289" ht="15.75" customHeight="1">
      <c r="A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</row>
    <row r="290" ht="15.75" customHeight="1">
      <c r="A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</row>
    <row r="291" ht="15.75" customHeight="1">
      <c r="A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</row>
    <row r="292" ht="15.75" customHeight="1">
      <c r="A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</row>
    <row r="293" ht="15.75" customHeight="1">
      <c r="A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</row>
    <row r="294" ht="15.75" customHeight="1">
      <c r="A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</row>
    <row r="295" ht="15.75" customHeight="1">
      <c r="A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</row>
    <row r="296" ht="15.75" customHeight="1">
      <c r="A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</row>
    <row r="297" ht="15.75" customHeight="1">
      <c r="A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</row>
    <row r="298" ht="15.75" customHeight="1">
      <c r="A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</row>
    <row r="299" ht="15.75" customHeight="1">
      <c r="A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</row>
    <row r="300" ht="15.75" customHeight="1">
      <c r="A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</row>
    <row r="301" ht="15.75" customHeight="1">
      <c r="A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</row>
    <row r="302" ht="15.75" customHeight="1">
      <c r="A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</row>
    <row r="303" ht="15.75" customHeight="1">
      <c r="A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</row>
    <row r="304" ht="15.75" customHeight="1">
      <c r="A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</row>
    <row r="305" ht="15.75" customHeight="1">
      <c r="A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</row>
    <row r="306" ht="15.75" customHeight="1">
      <c r="A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</row>
    <row r="307" ht="15.75" customHeight="1">
      <c r="A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</row>
    <row r="308" ht="15.75" customHeight="1">
      <c r="A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</row>
    <row r="309" ht="15.75" customHeight="1">
      <c r="A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</row>
    <row r="310" ht="15.75" customHeight="1">
      <c r="A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</row>
    <row r="311" ht="15.75" customHeight="1">
      <c r="A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</row>
    <row r="312" ht="15.75" customHeight="1">
      <c r="A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</row>
    <row r="313" ht="15.75" customHeight="1">
      <c r="A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</row>
    <row r="314" ht="15.75" customHeight="1">
      <c r="A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</row>
    <row r="315" ht="15.75" customHeight="1">
      <c r="A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</row>
    <row r="316" ht="15.75" customHeight="1">
      <c r="A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</row>
    <row r="317" ht="15.75" customHeight="1">
      <c r="A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</row>
    <row r="318" ht="15.75" customHeight="1">
      <c r="A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</row>
    <row r="319" ht="15.75" customHeight="1">
      <c r="A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</row>
    <row r="320" ht="15.75" customHeight="1">
      <c r="A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</row>
    <row r="321" ht="15.75" customHeight="1">
      <c r="A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</row>
    <row r="322" ht="15.75" customHeight="1">
      <c r="A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</row>
    <row r="323" ht="15.75" customHeight="1">
      <c r="A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</row>
    <row r="324" ht="15.75" customHeight="1">
      <c r="A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</row>
    <row r="325" ht="15.75" customHeight="1">
      <c r="A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</row>
    <row r="326" ht="15.75" customHeight="1">
      <c r="A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</row>
    <row r="327" ht="15.75" customHeight="1">
      <c r="A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</row>
    <row r="328" ht="15.75" customHeight="1">
      <c r="A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</row>
    <row r="329" ht="15.75" customHeight="1">
      <c r="A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</row>
    <row r="330" ht="15.75" customHeight="1">
      <c r="A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</row>
    <row r="331" ht="15.75" customHeight="1">
      <c r="A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</row>
    <row r="332" ht="15.75" customHeight="1">
      <c r="A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</row>
    <row r="333" ht="15.75" customHeight="1">
      <c r="A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</row>
    <row r="334" ht="15.75" customHeight="1">
      <c r="A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</row>
    <row r="335" ht="15.75" customHeight="1">
      <c r="A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</row>
    <row r="336" ht="15.75" customHeight="1">
      <c r="A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</row>
    <row r="337" ht="15.75" customHeight="1">
      <c r="A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</row>
    <row r="338" ht="15.75" customHeight="1">
      <c r="A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</row>
    <row r="339" ht="15.75" customHeight="1">
      <c r="A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</row>
    <row r="340" ht="15.75" customHeight="1">
      <c r="A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</row>
    <row r="341" ht="15.75" customHeight="1">
      <c r="A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</row>
    <row r="342" ht="15.75" customHeight="1">
      <c r="A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</row>
    <row r="343" ht="15.75" customHeight="1">
      <c r="A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</row>
    <row r="344" ht="15.75" customHeight="1">
      <c r="A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</row>
    <row r="345" ht="15.75" customHeight="1">
      <c r="A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</row>
    <row r="346" ht="15.75" customHeight="1">
      <c r="A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</row>
    <row r="347" ht="15.75" customHeight="1">
      <c r="A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</row>
    <row r="348" ht="15.75" customHeight="1">
      <c r="A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</row>
    <row r="349" ht="15.75" customHeight="1">
      <c r="A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</row>
    <row r="350" ht="15.75" customHeight="1">
      <c r="A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</row>
    <row r="351" ht="15.75" customHeight="1">
      <c r="A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</row>
    <row r="352" ht="15.75" customHeight="1">
      <c r="A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</row>
    <row r="353" ht="15.75" customHeight="1">
      <c r="A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</row>
    <row r="354" ht="15.75" customHeight="1">
      <c r="A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</row>
    <row r="355" ht="15.75" customHeight="1">
      <c r="A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</row>
    <row r="356" ht="15.75" customHeight="1">
      <c r="A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</row>
    <row r="357" ht="15.75" customHeight="1">
      <c r="A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</row>
    <row r="358" ht="15.75" customHeight="1">
      <c r="A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</row>
    <row r="359" ht="15.75" customHeight="1">
      <c r="A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</row>
    <row r="360" ht="15.75" customHeight="1">
      <c r="A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</row>
    <row r="361" ht="15.75" customHeight="1">
      <c r="A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</row>
    <row r="362" ht="15.75" customHeight="1">
      <c r="A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</row>
    <row r="363" ht="15.75" customHeight="1">
      <c r="A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</row>
    <row r="364" ht="15.75" customHeight="1">
      <c r="A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</row>
    <row r="365" ht="15.75" customHeight="1">
      <c r="A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</row>
    <row r="366" ht="15.75" customHeight="1">
      <c r="A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</row>
    <row r="367" ht="15.75" customHeight="1">
      <c r="A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</row>
    <row r="368" ht="15.75" customHeight="1">
      <c r="A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</row>
    <row r="369" ht="15.75" customHeight="1">
      <c r="A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</row>
    <row r="370" ht="15.75" customHeight="1">
      <c r="A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</row>
    <row r="371" ht="15.75" customHeight="1">
      <c r="A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</row>
    <row r="372" ht="15.75" customHeight="1">
      <c r="A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</row>
    <row r="373" ht="15.75" customHeight="1">
      <c r="A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</row>
    <row r="374" ht="15.75" customHeight="1">
      <c r="A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</row>
    <row r="375" ht="15.75" customHeight="1">
      <c r="A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</row>
    <row r="376" ht="15.75" customHeight="1">
      <c r="A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</row>
    <row r="377" ht="15.75" customHeight="1">
      <c r="A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</row>
    <row r="378" ht="15.75" customHeight="1">
      <c r="A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</row>
    <row r="379" ht="15.75" customHeight="1">
      <c r="A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</row>
    <row r="380" ht="15.75" customHeight="1">
      <c r="A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</row>
    <row r="381" ht="15.75" customHeight="1">
      <c r="A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</row>
    <row r="382" ht="15.75" customHeight="1">
      <c r="A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</row>
    <row r="383" ht="15.75" customHeight="1">
      <c r="A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</row>
    <row r="384" ht="15.75" customHeight="1">
      <c r="A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</row>
    <row r="385" ht="15.75" customHeight="1">
      <c r="A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</row>
    <row r="386" ht="15.75" customHeight="1">
      <c r="A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</row>
    <row r="387" ht="15.75" customHeight="1">
      <c r="A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</row>
    <row r="388" ht="15.75" customHeight="1">
      <c r="A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</row>
    <row r="389" ht="15.75" customHeight="1">
      <c r="A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</row>
    <row r="390" ht="15.75" customHeight="1">
      <c r="A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</row>
    <row r="391" ht="15.75" customHeight="1">
      <c r="A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</row>
    <row r="392" ht="15.75" customHeight="1">
      <c r="A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</row>
    <row r="393" ht="15.75" customHeight="1">
      <c r="A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</row>
    <row r="394" ht="15.75" customHeight="1">
      <c r="A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</row>
    <row r="395" ht="15.75" customHeight="1">
      <c r="A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</row>
    <row r="396" ht="15.75" customHeight="1">
      <c r="A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</row>
    <row r="397" ht="15.75" customHeight="1">
      <c r="A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</row>
    <row r="398" ht="15.75" customHeight="1">
      <c r="A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</row>
    <row r="399" ht="15.75" customHeight="1">
      <c r="A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</row>
    <row r="400" ht="15.75" customHeight="1">
      <c r="A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</row>
    <row r="401" ht="15.75" customHeight="1">
      <c r="A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</row>
    <row r="402" ht="15.75" customHeight="1">
      <c r="A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</row>
    <row r="403" ht="15.75" customHeight="1">
      <c r="A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</row>
    <row r="404" ht="15.75" customHeight="1">
      <c r="A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</row>
    <row r="405" ht="15.75" customHeight="1">
      <c r="A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</row>
    <row r="406" ht="15.75" customHeight="1">
      <c r="A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</row>
    <row r="407" ht="15.75" customHeight="1">
      <c r="A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</row>
    <row r="408" ht="15.75" customHeight="1">
      <c r="A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</row>
    <row r="409" ht="15.75" customHeight="1">
      <c r="A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</row>
    <row r="410" ht="15.75" customHeight="1">
      <c r="A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</row>
    <row r="411" ht="15.75" customHeight="1">
      <c r="A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</row>
    <row r="412" ht="15.75" customHeight="1">
      <c r="A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</row>
    <row r="413" ht="15.75" customHeight="1">
      <c r="A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</row>
    <row r="414" ht="15.75" customHeight="1">
      <c r="A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</row>
    <row r="415" ht="15.75" customHeight="1">
      <c r="A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</row>
    <row r="416" ht="15.75" customHeight="1">
      <c r="A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</row>
    <row r="417" ht="15.75" customHeight="1">
      <c r="A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</row>
    <row r="418" ht="15.75" customHeight="1">
      <c r="A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</row>
    <row r="419" ht="15.75" customHeight="1">
      <c r="A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</row>
    <row r="420" ht="15.75" customHeight="1">
      <c r="A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</row>
    <row r="421" ht="15.75" customHeight="1">
      <c r="A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</row>
    <row r="422" ht="15.75" customHeight="1">
      <c r="A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</row>
    <row r="423" ht="15.75" customHeight="1">
      <c r="A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</row>
    <row r="424" ht="15.75" customHeight="1">
      <c r="A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</row>
    <row r="425" ht="15.75" customHeight="1">
      <c r="A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</row>
    <row r="426" ht="15.75" customHeight="1">
      <c r="A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</row>
    <row r="427" ht="15.75" customHeight="1">
      <c r="A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</row>
    <row r="428" ht="15.75" customHeight="1">
      <c r="A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</row>
    <row r="429" ht="15.75" customHeight="1">
      <c r="A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</row>
    <row r="430" ht="15.75" customHeight="1">
      <c r="A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</row>
    <row r="431" ht="15.75" customHeight="1">
      <c r="A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</row>
    <row r="432" ht="15.75" customHeight="1">
      <c r="A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</row>
    <row r="433" ht="15.75" customHeight="1">
      <c r="A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</row>
    <row r="434" ht="15.75" customHeight="1">
      <c r="A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</row>
    <row r="435" ht="15.75" customHeight="1">
      <c r="A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</row>
    <row r="436" ht="15.75" customHeight="1">
      <c r="A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</row>
    <row r="437" ht="15.75" customHeight="1">
      <c r="A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</row>
    <row r="438" ht="15.75" customHeight="1">
      <c r="A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</row>
    <row r="439" ht="15.75" customHeight="1">
      <c r="A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</row>
    <row r="440" ht="15.75" customHeight="1">
      <c r="A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</row>
    <row r="441" ht="15.75" customHeight="1">
      <c r="A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</row>
    <row r="442" ht="15.75" customHeight="1">
      <c r="A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</row>
    <row r="443" ht="15.75" customHeight="1">
      <c r="A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</row>
    <row r="444" ht="15.75" customHeight="1">
      <c r="A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</row>
    <row r="445" ht="15.75" customHeight="1">
      <c r="A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</row>
    <row r="446" ht="15.75" customHeight="1">
      <c r="A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</row>
    <row r="447" ht="15.75" customHeight="1">
      <c r="A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</row>
    <row r="448" ht="15.75" customHeight="1">
      <c r="A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</row>
    <row r="449" ht="15.75" customHeight="1">
      <c r="A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</row>
    <row r="450" ht="15.75" customHeight="1">
      <c r="A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</row>
    <row r="451" ht="15.75" customHeight="1">
      <c r="A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</row>
    <row r="452" ht="15.75" customHeight="1">
      <c r="A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</row>
    <row r="453" ht="15.75" customHeight="1">
      <c r="A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</row>
    <row r="454" ht="15.75" customHeight="1">
      <c r="A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</row>
    <row r="455" ht="15.75" customHeight="1">
      <c r="A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</row>
    <row r="456" ht="15.75" customHeight="1">
      <c r="A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</row>
    <row r="457" ht="15.75" customHeight="1">
      <c r="A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</row>
    <row r="458" ht="15.75" customHeight="1">
      <c r="A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</row>
    <row r="459" ht="15.75" customHeight="1">
      <c r="A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</row>
    <row r="460" ht="15.75" customHeight="1">
      <c r="A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</row>
    <row r="461" ht="15.75" customHeight="1">
      <c r="A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</row>
    <row r="462" ht="15.75" customHeight="1">
      <c r="A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</row>
    <row r="463" ht="15.75" customHeight="1">
      <c r="A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</row>
    <row r="464" ht="15.75" customHeight="1">
      <c r="A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</row>
    <row r="465" ht="15.75" customHeight="1">
      <c r="A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</row>
    <row r="466" ht="15.75" customHeight="1">
      <c r="A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</row>
    <row r="467" ht="15.75" customHeight="1">
      <c r="A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</row>
    <row r="468" ht="15.75" customHeight="1">
      <c r="A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</row>
    <row r="469" ht="15.75" customHeight="1">
      <c r="A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</row>
    <row r="470" ht="15.75" customHeight="1">
      <c r="A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</row>
    <row r="471" ht="15.75" customHeight="1">
      <c r="A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</row>
    <row r="472" ht="15.75" customHeight="1">
      <c r="A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</row>
    <row r="473" ht="15.75" customHeight="1">
      <c r="A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</row>
    <row r="474" ht="15.75" customHeight="1">
      <c r="A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</row>
    <row r="475" ht="15.75" customHeight="1">
      <c r="A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</row>
    <row r="476" ht="15.75" customHeight="1">
      <c r="A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</row>
    <row r="477" ht="15.75" customHeight="1">
      <c r="A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</row>
    <row r="478" ht="15.75" customHeight="1">
      <c r="A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</row>
    <row r="479" ht="15.75" customHeight="1">
      <c r="A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</row>
    <row r="480" ht="15.75" customHeight="1">
      <c r="A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</row>
    <row r="481" ht="15.75" customHeight="1">
      <c r="A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</row>
    <row r="482" ht="15.75" customHeight="1">
      <c r="A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</row>
    <row r="483" ht="15.75" customHeight="1">
      <c r="A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</row>
    <row r="484" ht="15.75" customHeight="1">
      <c r="A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</row>
    <row r="485" ht="15.75" customHeight="1">
      <c r="A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</row>
    <row r="486" ht="15.75" customHeight="1">
      <c r="A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</row>
    <row r="487" ht="15.75" customHeight="1">
      <c r="A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</row>
    <row r="488" ht="15.75" customHeight="1">
      <c r="A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</row>
    <row r="489" ht="15.75" customHeight="1">
      <c r="A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</row>
    <row r="490" ht="15.75" customHeight="1">
      <c r="A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</row>
    <row r="491" ht="15.75" customHeight="1">
      <c r="A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</row>
    <row r="492" ht="15.75" customHeight="1">
      <c r="A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</row>
    <row r="493" ht="15.75" customHeight="1">
      <c r="A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</row>
    <row r="494" ht="15.75" customHeight="1">
      <c r="A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</row>
    <row r="495" ht="15.75" customHeight="1">
      <c r="A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</row>
    <row r="496" ht="15.75" customHeight="1">
      <c r="A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</row>
    <row r="497" ht="15.75" customHeight="1">
      <c r="A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</row>
    <row r="498" ht="15.75" customHeight="1">
      <c r="A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</row>
    <row r="499" ht="15.75" customHeight="1">
      <c r="A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</row>
    <row r="500" ht="15.75" customHeight="1">
      <c r="A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</row>
    <row r="501" ht="15.75" customHeight="1">
      <c r="A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</row>
    <row r="502" ht="15.75" customHeight="1">
      <c r="A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</row>
    <row r="503" ht="15.75" customHeight="1">
      <c r="A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</row>
    <row r="504" ht="15.75" customHeight="1">
      <c r="A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</row>
    <row r="505" ht="15.75" customHeight="1">
      <c r="A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</row>
    <row r="506" ht="15.75" customHeight="1">
      <c r="A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</row>
    <row r="507" ht="15.75" customHeight="1">
      <c r="A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</row>
    <row r="508" ht="15.75" customHeight="1">
      <c r="A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</row>
    <row r="509" ht="15.75" customHeight="1">
      <c r="A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</row>
    <row r="510" ht="15.75" customHeight="1">
      <c r="A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</row>
    <row r="511" ht="15.75" customHeight="1">
      <c r="A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</row>
    <row r="512" ht="15.75" customHeight="1">
      <c r="A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</row>
    <row r="513" ht="15.75" customHeight="1">
      <c r="A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</row>
    <row r="514" ht="15.75" customHeight="1">
      <c r="A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</row>
    <row r="515" ht="15.75" customHeight="1">
      <c r="A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</row>
    <row r="516" ht="15.75" customHeight="1">
      <c r="A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</row>
    <row r="517" ht="15.75" customHeight="1">
      <c r="A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</row>
    <row r="518" ht="15.75" customHeight="1">
      <c r="A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</row>
    <row r="519" ht="15.75" customHeight="1">
      <c r="A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</row>
    <row r="520" ht="15.75" customHeight="1">
      <c r="A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</row>
    <row r="521" ht="15.75" customHeight="1">
      <c r="A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</row>
    <row r="522" ht="15.75" customHeight="1">
      <c r="A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</row>
    <row r="523" ht="15.75" customHeight="1">
      <c r="A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</row>
    <row r="524" ht="15.75" customHeight="1">
      <c r="A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</row>
    <row r="525" ht="15.75" customHeight="1">
      <c r="A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</row>
    <row r="526" ht="15.75" customHeight="1">
      <c r="A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</row>
    <row r="527" ht="15.75" customHeight="1">
      <c r="A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</row>
    <row r="528" ht="15.75" customHeight="1">
      <c r="A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</row>
    <row r="529" ht="15.75" customHeight="1">
      <c r="A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</row>
    <row r="530" ht="15.75" customHeight="1">
      <c r="A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</row>
    <row r="531" ht="15.75" customHeight="1">
      <c r="A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</row>
    <row r="532" ht="15.75" customHeight="1">
      <c r="A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</row>
    <row r="533" ht="15.75" customHeight="1">
      <c r="A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</row>
    <row r="534" ht="15.75" customHeight="1">
      <c r="A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</row>
    <row r="535" ht="15.75" customHeight="1">
      <c r="A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</row>
    <row r="536" ht="15.75" customHeight="1">
      <c r="A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</row>
    <row r="537" ht="15.75" customHeight="1">
      <c r="A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</row>
    <row r="538" ht="15.75" customHeight="1">
      <c r="A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</row>
    <row r="539" ht="15.75" customHeight="1">
      <c r="A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</row>
    <row r="540" ht="15.75" customHeight="1">
      <c r="A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</row>
    <row r="541" ht="15.75" customHeight="1">
      <c r="A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</row>
    <row r="542" ht="15.75" customHeight="1">
      <c r="A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</row>
    <row r="543" ht="15.75" customHeight="1">
      <c r="A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</row>
    <row r="544" ht="15.75" customHeight="1">
      <c r="A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</row>
    <row r="545" ht="15.75" customHeight="1">
      <c r="A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</row>
    <row r="546" ht="15.75" customHeight="1">
      <c r="A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</row>
    <row r="547" ht="15.75" customHeight="1">
      <c r="A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</row>
    <row r="548" ht="15.75" customHeight="1">
      <c r="A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</row>
    <row r="549" ht="15.75" customHeight="1">
      <c r="A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</row>
    <row r="550" ht="15.75" customHeight="1">
      <c r="A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</row>
    <row r="551" ht="15.75" customHeight="1">
      <c r="A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</row>
    <row r="552" ht="15.75" customHeight="1">
      <c r="A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</row>
    <row r="553" ht="15.75" customHeight="1">
      <c r="A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</row>
    <row r="554" ht="15.75" customHeight="1">
      <c r="A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</row>
    <row r="555" ht="15.75" customHeight="1">
      <c r="A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</row>
    <row r="556" ht="15.75" customHeight="1">
      <c r="A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</row>
    <row r="557" ht="15.75" customHeight="1">
      <c r="A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</row>
    <row r="558" ht="15.75" customHeight="1">
      <c r="A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</row>
    <row r="559" ht="15.75" customHeight="1">
      <c r="A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</row>
    <row r="560" ht="15.75" customHeight="1">
      <c r="A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</row>
    <row r="561" ht="15.75" customHeight="1">
      <c r="A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</row>
    <row r="562" ht="15.75" customHeight="1">
      <c r="A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</row>
    <row r="563" ht="15.75" customHeight="1">
      <c r="A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</row>
    <row r="564" ht="15.75" customHeight="1">
      <c r="A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</row>
    <row r="565" ht="15.75" customHeight="1">
      <c r="A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</row>
    <row r="566" ht="15.75" customHeight="1">
      <c r="A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</row>
    <row r="567" ht="15.75" customHeight="1">
      <c r="A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</row>
    <row r="568" ht="15.75" customHeight="1">
      <c r="A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</row>
    <row r="569" ht="15.75" customHeight="1">
      <c r="A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</row>
    <row r="570" ht="15.75" customHeight="1">
      <c r="A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</row>
    <row r="571" ht="15.75" customHeight="1">
      <c r="A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</row>
    <row r="572" ht="15.75" customHeight="1">
      <c r="A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</row>
    <row r="573" ht="15.75" customHeight="1">
      <c r="A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</row>
    <row r="574" ht="15.75" customHeight="1">
      <c r="A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</row>
    <row r="575" ht="15.75" customHeight="1">
      <c r="A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</row>
    <row r="576" ht="15.75" customHeight="1">
      <c r="A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</row>
    <row r="577" ht="15.75" customHeight="1">
      <c r="A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</row>
    <row r="578" ht="15.75" customHeight="1">
      <c r="A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</row>
    <row r="579" ht="15.75" customHeight="1">
      <c r="A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</row>
    <row r="580" ht="15.75" customHeight="1">
      <c r="A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</row>
    <row r="581" ht="15.75" customHeight="1">
      <c r="A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</row>
    <row r="582" ht="15.75" customHeight="1">
      <c r="A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</row>
    <row r="583" ht="15.75" customHeight="1">
      <c r="A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</row>
    <row r="584" ht="15.75" customHeight="1">
      <c r="A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</row>
    <row r="585" ht="15.75" customHeight="1">
      <c r="A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</row>
    <row r="586" ht="15.75" customHeight="1">
      <c r="A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</row>
    <row r="587" ht="15.75" customHeight="1">
      <c r="A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</row>
    <row r="588" ht="15.75" customHeight="1">
      <c r="A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</row>
    <row r="589" ht="15.75" customHeight="1">
      <c r="A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</row>
    <row r="590" ht="15.75" customHeight="1">
      <c r="A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</row>
    <row r="591" ht="15.75" customHeight="1">
      <c r="A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</row>
    <row r="592" ht="15.75" customHeight="1">
      <c r="A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</row>
    <row r="593" ht="15.75" customHeight="1">
      <c r="A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</row>
    <row r="594" ht="15.75" customHeight="1">
      <c r="A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</row>
    <row r="595" ht="15.75" customHeight="1">
      <c r="A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</row>
    <row r="596" ht="15.75" customHeight="1">
      <c r="A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</row>
    <row r="597" ht="15.75" customHeight="1">
      <c r="A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</row>
    <row r="598" ht="15.75" customHeight="1">
      <c r="A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</row>
    <row r="599" ht="15.75" customHeight="1">
      <c r="A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</row>
    <row r="600" ht="15.75" customHeight="1">
      <c r="A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</row>
    <row r="601" ht="15.75" customHeight="1">
      <c r="A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</row>
    <row r="602" ht="15.75" customHeight="1">
      <c r="A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</row>
    <row r="603" ht="15.75" customHeight="1">
      <c r="A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</row>
    <row r="604" ht="15.75" customHeight="1">
      <c r="A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</row>
    <row r="605" ht="15.75" customHeight="1">
      <c r="A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</row>
    <row r="606" ht="15.75" customHeight="1">
      <c r="A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</row>
    <row r="607" ht="15.75" customHeight="1">
      <c r="A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</row>
    <row r="608" ht="15.75" customHeight="1">
      <c r="A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</row>
    <row r="609" ht="15.75" customHeight="1">
      <c r="A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</row>
    <row r="610" ht="15.75" customHeight="1">
      <c r="A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</row>
    <row r="611" ht="15.75" customHeight="1">
      <c r="A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</row>
    <row r="612" ht="15.75" customHeight="1">
      <c r="A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</row>
    <row r="613" ht="15.75" customHeight="1">
      <c r="A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</row>
    <row r="614" ht="15.75" customHeight="1">
      <c r="A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</row>
    <row r="615" ht="15.75" customHeight="1">
      <c r="A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</row>
    <row r="616" ht="15.75" customHeight="1">
      <c r="A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</row>
    <row r="617" ht="15.75" customHeight="1">
      <c r="A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</row>
    <row r="618" ht="15.75" customHeight="1">
      <c r="A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</row>
    <row r="619" ht="15.75" customHeight="1">
      <c r="A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</row>
    <row r="620" ht="15.75" customHeight="1">
      <c r="A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</row>
    <row r="621" ht="15.75" customHeight="1">
      <c r="A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</row>
    <row r="622" ht="15.75" customHeight="1">
      <c r="A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</row>
    <row r="623" ht="15.75" customHeight="1">
      <c r="A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</row>
    <row r="624" ht="15.75" customHeight="1">
      <c r="A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</row>
    <row r="625" ht="15.75" customHeight="1">
      <c r="A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</row>
    <row r="626" ht="15.75" customHeight="1">
      <c r="A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</row>
    <row r="627" ht="15.75" customHeight="1">
      <c r="A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</row>
    <row r="628" ht="15.75" customHeight="1">
      <c r="A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</row>
    <row r="629" ht="15.75" customHeight="1">
      <c r="A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</row>
    <row r="630" ht="15.75" customHeight="1">
      <c r="A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</row>
    <row r="631" ht="15.75" customHeight="1">
      <c r="A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</row>
    <row r="632" ht="15.75" customHeight="1">
      <c r="A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</row>
    <row r="633" ht="15.75" customHeight="1">
      <c r="A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</row>
    <row r="634" ht="15.75" customHeight="1">
      <c r="A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</row>
    <row r="635" ht="15.75" customHeight="1">
      <c r="A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</row>
    <row r="636" ht="15.75" customHeight="1">
      <c r="A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</row>
    <row r="637" ht="15.75" customHeight="1">
      <c r="A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</row>
    <row r="638" ht="15.75" customHeight="1">
      <c r="A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</row>
    <row r="639" ht="15.75" customHeight="1">
      <c r="A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</row>
    <row r="640" ht="15.75" customHeight="1">
      <c r="A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</row>
    <row r="641" ht="15.75" customHeight="1">
      <c r="A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</row>
    <row r="642" ht="15.75" customHeight="1">
      <c r="A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</row>
    <row r="643" ht="15.75" customHeight="1">
      <c r="A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</row>
    <row r="644" ht="15.75" customHeight="1">
      <c r="A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</row>
    <row r="645" ht="15.75" customHeight="1">
      <c r="A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</row>
    <row r="646" ht="15.75" customHeight="1">
      <c r="A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</row>
    <row r="647" ht="15.75" customHeight="1">
      <c r="A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</row>
    <row r="648" ht="15.75" customHeight="1">
      <c r="A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</row>
    <row r="649" ht="15.75" customHeight="1">
      <c r="A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</row>
    <row r="650" ht="15.75" customHeight="1">
      <c r="A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</row>
    <row r="651" ht="15.75" customHeight="1">
      <c r="A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</row>
    <row r="652" ht="15.75" customHeight="1">
      <c r="A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</row>
    <row r="653" ht="15.75" customHeight="1">
      <c r="A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</row>
    <row r="654" ht="15.75" customHeight="1">
      <c r="A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</row>
    <row r="655" ht="15.75" customHeight="1">
      <c r="A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</row>
    <row r="656" ht="15.75" customHeight="1">
      <c r="A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</row>
    <row r="657" ht="15.75" customHeight="1">
      <c r="A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</row>
    <row r="658" ht="15.75" customHeight="1">
      <c r="A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</row>
    <row r="659" ht="15.75" customHeight="1">
      <c r="A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</row>
    <row r="660" ht="15.75" customHeight="1">
      <c r="A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</row>
    <row r="661" ht="15.75" customHeight="1">
      <c r="A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</row>
    <row r="662" ht="15.75" customHeight="1">
      <c r="A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</row>
    <row r="663" ht="15.75" customHeight="1">
      <c r="A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</row>
    <row r="664" ht="15.75" customHeight="1">
      <c r="A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</row>
    <row r="665" ht="15.75" customHeight="1">
      <c r="A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</row>
    <row r="666" ht="15.75" customHeight="1">
      <c r="A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</row>
    <row r="667" ht="15.75" customHeight="1">
      <c r="A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</row>
    <row r="668" ht="15.75" customHeight="1">
      <c r="A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</row>
    <row r="669" ht="15.75" customHeight="1">
      <c r="A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</row>
    <row r="670" ht="15.75" customHeight="1">
      <c r="A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</row>
    <row r="671" ht="15.75" customHeight="1">
      <c r="A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</row>
    <row r="672" ht="15.75" customHeight="1">
      <c r="A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</row>
    <row r="673" ht="15.75" customHeight="1">
      <c r="A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</row>
    <row r="674" ht="15.75" customHeight="1">
      <c r="A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</row>
    <row r="675" ht="15.75" customHeight="1">
      <c r="A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</row>
    <row r="676" ht="15.75" customHeight="1">
      <c r="A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</row>
    <row r="677" ht="15.75" customHeight="1">
      <c r="A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</row>
    <row r="678" ht="15.75" customHeight="1">
      <c r="A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</row>
    <row r="679" ht="15.75" customHeight="1">
      <c r="A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</row>
    <row r="680" ht="15.75" customHeight="1">
      <c r="A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</row>
    <row r="681" ht="15.75" customHeight="1">
      <c r="A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</row>
    <row r="682" ht="15.75" customHeight="1">
      <c r="A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</row>
    <row r="683" ht="15.75" customHeight="1">
      <c r="A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</row>
    <row r="684" ht="15.75" customHeight="1">
      <c r="A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</row>
    <row r="685" ht="15.75" customHeight="1">
      <c r="A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</row>
    <row r="686" ht="15.75" customHeight="1">
      <c r="A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</row>
    <row r="687" ht="15.75" customHeight="1">
      <c r="A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</row>
    <row r="688" ht="15.75" customHeight="1">
      <c r="A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</row>
    <row r="689" ht="15.75" customHeight="1">
      <c r="A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</row>
    <row r="690" ht="15.75" customHeight="1">
      <c r="A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</row>
    <row r="691" ht="15.75" customHeight="1">
      <c r="A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</row>
    <row r="692" ht="15.75" customHeight="1">
      <c r="A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</row>
    <row r="693" ht="15.75" customHeight="1">
      <c r="A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</row>
    <row r="694" ht="15.75" customHeight="1">
      <c r="A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</row>
    <row r="695" ht="15.75" customHeight="1">
      <c r="A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</row>
    <row r="696" ht="15.75" customHeight="1">
      <c r="A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</row>
    <row r="697" ht="15.75" customHeight="1">
      <c r="A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</row>
    <row r="698" ht="15.75" customHeight="1">
      <c r="A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</row>
    <row r="699" ht="15.75" customHeight="1">
      <c r="A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</row>
    <row r="700" ht="15.75" customHeight="1">
      <c r="A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</row>
    <row r="701" ht="15.75" customHeight="1">
      <c r="A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</row>
    <row r="702" ht="15.75" customHeight="1">
      <c r="A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</row>
    <row r="703" ht="15.75" customHeight="1">
      <c r="A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</row>
    <row r="704" ht="15.75" customHeight="1">
      <c r="A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</row>
    <row r="705" ht="15.75" customHeight="1">
      <c r="A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</row>
    <row r="706" ht="15.75" customHeight="1">
      <c r="A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</row>
    <row r="707" ht="15.75" customHeight="1">
      <c r="A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</row>
    <row r="708" ht="15.75" customHeight="1">
      <c r="A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</row>
    <row r="709" ht="15.75" customHeight="1">
      <c r="A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</row>
    <row r="710" ht="15.75" customHeight="1">
      <c r="A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</row>
    <row r="711" ht="15.75" customHeight="1">
      <c r="A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</row>
    <row r="712" ht="15.75" customHeight="1">
      <c r="A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</row>
    <row r="713" ht="15.75" customHeight="1">
      <c r="A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</row>
    <row r="714" ht="15.75" customHeight="1">
      <c r="A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</row>
    <row r="715" ht="15.75" customHeight="1">
      <c r="A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</row>
    <row r="716" ht="15.75" customHeight="1">
      <c r="A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</row>
    <row r="717" ht="15.75" customHeight="1">
      <c r="A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</row>
    <row r="718" ht="15.75" customHeight="1">
      <c r="A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</row>
    <row r="719" ht="15.75" customHeight="1">
      <c r="A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</row>
    <row r="720" ht="15.75" customHeight="1">
      <c r="A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</row>
    <row r="721" ht="15.75" customHeight="1">
      <c r="A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</row>
    <row r="722" ht="15.75" customHeight="1">
      <c r="A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</row>
    <row r="723" ht="15.75" customHeight="1">
      <c r="A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</row>
    <row r="724" ht="15.75" customHeight="1">
      <c r="A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</row>
    <row r="725" ht="15.75" customHeight="1">
      <c r="A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</row>
    <row r="726" ht="15.75" customHeight="1">
      <c r="A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</row>
    <row r="727" ht="15.75" customHeight="1">
      <c r="A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</row>
    <row r="728" ht="15.75" customHeight="1">
      <c r="A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</row>
    <row r="729" ht="15.75" customHeight="1">
      <c r="A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</row>
    <row r="730" ht="15.75" customHeight="1">
      <c r="A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</row>
    <row r="731" ht="15.75" customHeight="1">
      <c r="A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</row>
    <row r="732" ht="15.75" customHeight="1">
      <c r="A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</row>
    <row r="733" ht="15.75" customHeight="1">
      <c r="A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</row>
    <row r="734" ht="15.75" customHeight="1">
      <c r="A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</row>
    <row r="735" ht="15.75" customHeight="1">
      <c r="A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</row>
    <row r="736" ht="15.75" customHeight="1">
      <c r="A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</row>
    <row r="737" ht="15.75" customHeight="1">
      <c r="A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</row>
    <row r="738" ht="15.75" customHeight="1">
      <c r="A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</row>
    <row r="739" ht="15.75" customHeight="1">
      <c r="A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</row>
    <row r="740" ht="15.75" customHeight="1">
      <c r="A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</row>
    <row r="741" ht="15.75" customHeight="1">
      <c r="A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</row>
    <row r="742" ht="15.75" customHeight="1">
      <c r="A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</row>
    <row r="743" ht="15.75" customHeight="1">
      <c r="A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</row>
    <row r="744" ht="15.75" customHeight="1">
      <c r="A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</row>
    <row r="745" ht="15.75" customHeight="1">
      <c r="A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</row>
    <row r="746" ht="15.75" customHeight="1">
      <c r="A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</row>
    <row r="747" ht="15.75" customHeight="1">
      <c r="A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</row>
    <row r="748" ht="15.75" customHeight="1">
      <c r="A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</row>
    <row r="749" ht="15.75" customHeight="1">
      <c r="A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</row>
    <row r="750" ht="15.75" customHeight="1">
      <c r="A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</row>
    <row r="751" ht="15.75" customHeight="1">
      <c r="A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</row>
    <row r="752" ht="15.75" customHeight="1">
      <c r="A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</row>
    <row r="753" ht="15.75" customHeight="1">
      <c r="A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</row>
    <row r="754" ht="15.75" customHeight="1">
      <c r="A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</row>
    <row r="755" ht="15.75" customHeight="1">
      <c r="A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</row>
    <row r="756" ht="15.75" customHeight="1">
      <c r="A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</row>
    <row r="757" ht="15.75" customHeight="1">
      <c r="A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</row>
    <row r="758" ht="15.75" customHeight="1">
      <c r="A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</row>
    <row r="759" ht="15.75" customHeight="1">
      <c r="A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</row>
    <row r="760" ht="15.75" customHeight="1">
      <c r="A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</row>
    <row r="761" ht="15.75" customHeight="1">
      <c r="A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</row>
    <row r="762" ht="15.75" customHeight="1">
      <c r="A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</row>
    <row r="763" ht="15.75" customHeight="1">
      <c r="A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</row>
    <row r="764" ht="15.75" customHeight="1">
      <c r="A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</row>
    <row r="765" ht="15.75" customHeight="1">
      <c r="A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</row>
    <row r="766" ht="15.75" customHeight="1">
      <c r="A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</row>
    <row r="767" ht="15.75" customHeight="1">
      <c r="A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</row>
    <row r="768" ht="15.75" customHeight="1">
      <c r="A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</row>
    <row r="769" ht="15.75" customHeight="1">
      <c r="A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</row>
    <row r="770" ht="15.75" customHeight="1">
      <c r="A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</row>
    <row r="771" ht="15.75" customHeight="1">
      <c r="A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</row>
    <row r="772" ht="15.75" customHeight="1">
      <c r="A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</row>
    <row r="773" ht="15.75" customHeight="1">
      <c r="A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</row>
    <row r="774" ht="15.75" customHeight="1">
      <c r="A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</row>
    <row r="775" ht="15.75" customHeight="1">
      <c r="A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</row>
    <row r="776" ht="15.75" customHeight="1">
      <c r="A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</row>
    <row r="777" ht="15.75" customHeight="1">
      <c r="A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</row>
    <row r="778" ht="15.75" customHeight="1">
      <c r="A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</row>
    <row r="779" ht="15.75" customHeight="1">
      <c r="A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</row>
    <row r="780" ht="15.75" customHeight="1">
      <c r="A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</row>
    <row r="781" ht="15.75" customHeight="1">
      <c r="A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</row>
    <row r="782" ht="15.75" customHeight="1">
      <c r="A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</row>
    <row r="783" ht="15.75" customHeight="1">
      <c r="A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</row>
    <row r="784" ht="15.75" customHeight="1">
      <c r="A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</row>
    <row r="785" ht="15.75" customHeight="1">
      <c r="A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</row>
    <row r="786" ht="15.75" customHeight="1">
      <c r="A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</row>
    <row r="787" ht="15.75" customHeight="1">
      <c r="A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</row>
    <row r="788" ht="15.75" customHeight="1">
      <c r="A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</row>
    <row r="789" ht="15.75" customHeight="1">
      <c r="A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</row>
    <row r="790" ht="15.75" customHeight="1">
      <c r="A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</row>
    <row r="791" ht="15.75" customHeight="1">
      <c r="A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</row>
    <row r="792" ht="15.75" customHeight="1">
      <c r="A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</row>
    <row r="793" ht="15.75" customHeight="1">
      <c r="A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</row>
    <row r="794" ht="15.75" customHeight="1">
      <c r="A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</row>
    <row r="795" ht="15.75" customHeight="1">
      <c r="A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</row>
    <row r="796" ht="15.75" customHeight="1">
      <c r="A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</row>
    <row r="797" ht="15.75" customHeight="1">
      <c r="A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</row>
    <row r="798" ht="15.75" customHeight="1">
      <c r="A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</row>
    <row r="799" ht="15.75" customHeight="1">
      <c r="A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</row>
    <row r="800" ht="15.75" customHeight="1">
      <c r="A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</row>
    <row r="801" ht="15.75" customHeight="1">
      <c r="A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</row>
    <row r="802" ht="15.75" customHeight="1">
      <c r="A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</row>
    <row r="803" ht="15.75" customHeight="1">
      <c r="A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</row>
    <row r="804" ht="15.75" customHeight="1">
      <c r="A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</row>
    <row r="805" ht="15.75" customHeight="1">
      <c r="A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</row>
    <row r="806" ht="15.75" customHeight="1">
      <c r="A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</row>
    <row r="807" ht="15.75" customHeight="1">
      <c r="A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</row>
    <row r="808" ht="15.75" customHeight="1">
      <c r="A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</row>
    <row r="809" ht="15.75" customHeight="1">
      <c r="A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</row>
    <row r="810" ht="15.75" customHeight="1">
      <c r="A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</row>
    <row r="811" ht="15.75" customHeight="1">
      <c r="A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</row>
    <row r="812" ht="15.75" customHeight="1">
      <c r="A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</row>
    <row r="813" ht="15.75" customHeight="1">
      <c r="A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</row>
    <row r="814" ht="15.75" customHeight="1">
      <c r="A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</row>
    <row r="815" ht="15.75" customHeight="1">
      <c r="A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</row>
    <row r="816" ht="15.75" customHeight="1">
      <c r="A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</row>
    <row r="817" ht="15.75" customHeight="1">
      <c r="A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</row>
    <row r="818" ht="15.75" customHeight="1">
      <c r="A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</row>
    <row r="819" ht="15.75" customHeight="1">
      <c r="A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</row>
    <row r="820" ht="15.75" customHeight="1">
      <c r="A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</row>
    <row r="821" ht="15.75" customHeight="1">
      <c r="A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</row>
    <row r="822" ht="15.75" customHeight="1">
      <c r="A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</row>
    <row r="823" ht="15.75" customHeight="1">
      <c r="A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</row>
    <row r="824" ht="15.75" customHeight="1">
      <c r="A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</row>
    <row r="825" ht="15.75" customHeight="1">
      <c r="A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</row>
    <row r="826" ht="15.75" customHeight="1">
      <c r="A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</row>
    <row r="827" ht="15.75" customHeight="1">
      <c r="A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</row>
    <row r="828" ht="15.75" customHeight="1">
      <c r="A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</row>
    <row r="829" ht="15.75" customHeight="1">
      <c r="A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</row>
    <row r="830" ht="15.75" customHeight="1">
      <c r="A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</row>
    <row r="831" ht="15.75" customHeight="1">
      <c r="A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</row>
    <row r="832" ht="15.75" customHeight="1">
      <c r="A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</row>
    <row r="833" ht="15.75" customHeight="1">
      <c r="A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</row>
    <row r="834" ht="15.75" customHeight="1">
      <c r="A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</row>
    <row r="835" ht="15.75" customHeight="1">
      <c r="A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</row>
    <row r="836" ht="15.75" customHeight="1">
      <c r="A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</row>
    <row r="837" ht="15.75" customHeight="1">
      <c r="A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</row>
    <row r="838" ht="15.75" customHeight="1">
      <c r="A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</row>
    <row r="839" ht="15.75" customHeight="1">
      <c r="A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</row>
    <row r="840" ht="15.75" customHeight="1">
      <c r="A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</row>
    <row r="841" ht="15.75" customHeight="1">
      <c r="A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</row>
    <row r="842" ht="15.75" customHeight="1">
      <c r="A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</row>
    <row r="843" ht="15.75" customHeight="1">
      <c r="A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</row>
    <row r="844" ht="15.75" customHeight="1">
      <c r="A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</row>
    <row r="845" ht="15.75" customHeight="1">
      <c r="A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</row>
    <row r="846" ht="15.75" customHeight="1">
      <c r="A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</row>
    <row r="847" ht="15.75" customHeight="1">
      <c r="A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</row>
    <row r="848" ht="15.75" customHeight="1">
      <c r="A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</row>
    <row r="849" ht="15.75" customHeight="1">
      <c r="A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</row>
    <row r="850" ht="15.75" customHeight="1">
      <c r="A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</row>
    <row r="851" ht="15.75" customHeight="1">
      <c r="A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</row>
    <row r="852" ht="15.75" customHeight="1">
      <c r="A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</row>
    <row r="853" ht="15.75" customHeight="1">
      <c r="A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</row>
    <row r="854" ht="15.75" customHeight="1">
      <c r="A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</row>
    <row r="855" ht="15.75" customHeight="1">
      <c r="A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</row>
    <row r="856" ht="15.75" customHeight="1">
      <c r="A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</row>
    <row r="857" ht="15.75" customHeight="1">
      <c r="A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</row>
    <row r="858" ht="15.75" customHeight="1">
      <c r="A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</row>
    <row r="859" ht="15.75" customHeight="1">
      <c r="A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</row>
    <row r="860" ht="15.75" customHeight="1">
      <c r="A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</row>
    <row r="861" ht="15.75" customHeight="1">
      <c r="A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</row>
    <row r="862" ht="15.75" customHeight="1">
      <c r="A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</row>
    <row r="863" ht="15.75" customHeight="1">
      <c r="A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</row>
    <row r="864" ht="15.75" customHeight="1">
      <c r="A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</row>
    <row r="865" ht="15.75" customHeight="1">
      <c r="A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</row>
    <row r="866" ht="15.75" customHeight="1">
      <c r="A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</row>
    <row r="867" ht="15.75" customHeight="1">
      <c r="A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</row>
    <row r="868" ht="15.75" customHeight="1">
      <c r="A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</row>
    <row r="869" ht="15.75" customHeight="1">
      <c r="A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</row>
    <row r="870" ht="15.75" customHeight="1">
      <c r="A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</row>
    <row r="871" ht="15.75" customHeight="1">
      <c r="A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</row>
    <row r="872" ht="15.75" customHeight="1">
      <c r="A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</row>
    <row r="873" ht="15.75" customHeight="1">
      <c r="A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</row>
    <row r="874" ht="15.75" customHeight="1">
      <c r="A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</row>
    <row r="875" ht="15.75" customHeight="1">
      <c r="A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</row>
    <row r="876" ht="15.75" customHeight="1">
      <c r="A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</row>
    <row r="877" ht="15.75" customHeight="1">
      <c r="A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</row>
    <row r="878" ht="15.75" customHeight="1">
      <c r="A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</row>
    <row r="879" ht="15.75" customHeight="1">
      <c r="A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</row>
    <row r="880" ht="15.75" customHeight="1">
      <c r="A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</row>
    <row r="881" ht="15.75" customHeight="1">
      <c r="A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</row>
    <row r="882" ht="15.75" customHeight="1">
      <c r="A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</row>
    <row r="883" ht="15.75" customHeight="1">
      <c r="A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</row>
    <row r="884" ht="15.75" customHeight="1">
      <c r="A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</row>
    <row r="885" ht="15.75" customHeight="1">
      <c r="A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</row>
    <row r="886" ht="15.75" customHeight="1">
      <c r="A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</row>
    <row r="887" ht="15.75" customHeight="1">
      <c r="A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</row>
    <row r="888" ht="15.75" customHeight="1">
      <c r="A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</row>
    <row r="889" ht="15.75" customHeight="1">
      <c r="A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</row>
    <row r="890" ht="15.75" customHeight="1">
      <c r="A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</row>
    <row r="891" ht="15.75" customHeight="1">
      <c r="A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</row>
    <row r="892" ht="15.75" customHeight="1">
      <c r="A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</row>
    <row r="893" ht="15.75" customHeight="1">
      <c r="A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</row>
    <row r="894" ht="15.75" customHeight="1">
      <c r="A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</row>
    <row r="895" ht="15.75" customHeight="1">
      <c r="A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</row>
    <row r="896" ht="15.75" customHeight="1">
      <c r="A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</row>
    <row r="897" ht="15.75" customHeight="1">
      <c r="A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</row>
    <row r="898" ht="15.75" customHeight="1">
      <c r="A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</row>
    <row r="899" ht="15.75" customHeight="1">
      <c r="A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</row>
    <row r="900" ht="15.75" customHeight="1">
      <c r="A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</row>
    <row r="901" ht="15.75" customHeight="1">
      <c r="A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</row>
    <row r="902" ht="15.75" customHeight="1">
      <c r="A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</row>
    <row r="903" ht="15.75" customHeight="1">
      <c r="A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</row>
    <row r="904" ht="15.75" customHeight="1">
      <c r="A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</row>
    <row r="905" ht="15.75" customHeight="1">
      <c r="A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</row>
    <row r="906" ht="15.75" customHeight="1">
      <c r="A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</row>
    <row r="907" ht="15.75" customHeight="1">
      <c r="A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</row>
    <row r="908" ht="15.75" customHeight="1">
      <c r="A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</row>
    <row r="909" ht="15.75" customHeight="1">
      <c r="A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</row>
    <row r="910" ht="15.75" customHeight="1">
      <c r="A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</row>
    <row r="911" ht="15.75" customHeight="1">
      <c r="A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</row>
    <row r="912" ht="15.75" customHeight="1">
      <c r="A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</row>
    <row r="913" ht="15.75" customHeight="1">
      <c r="A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</row>
    <row r="914" ht="15.75" customHeight="1">
      <c r="A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</row>
    <row r="915" ht="15.75" customHeight="1">
      <c r="A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</row>
    <row r="916" ht="15.75" customHeight="1">
      <c r="A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</row>
    <row r="917" ht="15.75" customHeight="1">
      <c r="A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</row>
    <row r="918" ht="15.75" customHeight="1">
      <c r="A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</row>
    <row r="919" ht="15.75" customHeight="1">
      <c r="A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</row>
    <row r="920" ht="15.75" customHeight="1">
      <c r="A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</row>
    <row r="921" ht="15.75" customHeight="1">
      <c r="A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</row>
    <row r="922" ht="15.75" customHeight="1">
      <c r="A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</row>
    <row r="923" ht="15.75" customHeight="1">
      <c r="A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</row>
    <row r="924" ht="15.75" customHeight="1">
      <c r="A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</row>
    <row r="925" ht="15.75" customHeight="1">
      <c r="A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</row>
    <row r="926" ht="15.75" customHeight="1">
      <c r="A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</row>
    <row r="927" ht="15.75" customHeight="1">
      <c r="A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</row>
    <row r="928" ht="15.75" customHeight="1">
      <c r="A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</row>
    <row r="929" ht="15.75" customHeight="1">
      <c r="A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</row>
    <row r="930" ht="15.75" customHeight="1">
      <c r="A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</row>
    <row r="931" ht="15.75" customHeight="1">
      <c r="A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</row>
    <row r="932" ht="15.75" customHeight="1">
      <c r="A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</row>
    <row r="933" ht="15.75" customHeight="1">
      <c r="A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</row>
    <row r="934" ht="15.75" customHeight="1">
      <c r="A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</row>
    <row r="935" ht="15.75" customHeight="1">
      <c r="A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</row>
    <row r="936" ht="15.75" customHeight="1">
      <c r="A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</row>
    <row r="937" ht="15.75" customHeight="1">
      <c r="A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</row>
    <row r="938" ht="15.75" customHeight="1">
      <c r="A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</row>
    <row r="939" ht="15.75" customHeight="1">
      <c r="A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</row>
    <row r="940" ht="15.75" customHeight="1">
      <c r="A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</row>
    <row r="941" ht="15.75" customHeight="1">
      <c r="A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</row>
    <row r="942" ht="15.75" customHeight="1">
      <c r="A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</row>
    <row r="943" ht="15.75" customHeight="1">
      <c r="A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</row>
    <row r="944" ht="15.75" customHeight="1">
      <c r="A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</row>
    <row r="945" ht="15.75" customHeight="1">
      <c r="A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</row>
    <row r="946" ht="15.75" customHeight="1">
      <c r="A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</row>
    <row r="947" ht="15.75" customHeight="1">
      <c r="A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</row>
    <row r="948" ht="15.75" customHeight="1">
      <c r="A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</row>
    <row r="949" ht="15.75" customHeight="1">
      <c r="A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</row>
    <row r="950" ht="15.75" customHeight="1">
      <c r="A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</row>
    <row r="951" ht="15.75" customHeight="1">
      <c r="A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</row>
    <row r="952" ht="15.75" customHeight="1">
      <c r="A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</row>
    <row r="953" ht="15.75" customHeight="1">
      <c r="A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</row>
    <row r="954" ht="15.75" customHeight="1">
      <c r="A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</row>
    <row r="955" ht="15.75" customHeight="1">
      <c r="A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</row>
    <row r="956" ht="15.75" customHeight="1">
      <c r="A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</row>
    <row r="957" ht="15.75" customHeight="1">
      <c r="A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</row>
    <row r="958" ht="15.75" customHeight="1">
      <c r="A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</row>
    <row r="959" ht="15.75" customHeight="1">
      <c r="A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</row>
    <row r="960" ht="15.75" customHeight="1">
      <c r="A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</row>
    <row r="961" ht="15.75" customHeight="1">
      <c r="A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</row>
    <row r="962" ht="15.75" customHeight="1">
      <c r="A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</row>
    <row r="963" ht="15.75" customHeight="1">
      <c r="A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</row>
    <row r="964" ht="15.75" customHeight="1">
      <c r="A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</row>
    <row r="965" ht="15.75" customHeight="1">
      <c r="A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</row>
    <row r="966" ht="15.75" customHeight="1">
      <c r="A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</row>
    <row r="967" ht="15.75" customHeight="1">
      <c r="A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</row>
    <row r="968" ht="15.75" customHeight="1">
      <c r="A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</row>
    <row r="969" ht="15.75" customHeight="1">
      <c r="A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</row>
    <row r="970" ht="15.75" customHeight="1">
      <c r="A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</row>
    <row r="971" ht="15.75" customHeight="1">
      <c r="A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</row>
    <row r="972" ht="15.75" customHeight="1">
      <c r="A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</row>
    <row r="973" ht="15.75" customHeight="1">
      <c r="A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</row>
    <row r="974" ht="15.75" customHeight="1">
      <c r="A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</row>
    <row r="975" ht="15.75" customHeight="1">
      <c r="A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</row>
    <row r="976" ht="15.75" customHeight="1">
      <c r="A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</row>
    <row r="977" ht="15.75" customHeight="1">
      <c r="A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</row>
    <row r="978" ht="15.75" customHeight="1">
      <c r="A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</row>
    <row r="979" ht="15.75" customHeight="1">
      <c r="A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</row>
    <row r="980" ht="15.75" customHeight="1">
      <c r="A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</row>
    <row r="981" ht="15.75" customHeight="1">
      <c r="A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</row>
    <row r="982" ht="15.75" customHeight="1">
      <c r="A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</row>
    <row r="983" ht="15.75" customHeight="1">
      <c r="A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</row>
    <row r="984" ht="15.75" customHeight="1">
      <c r="A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</row>
    <row r="985" ht="15.75" customHeight="1">
      <c r="A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</row>
    <row r="986" ht="15.75" customHeight="1">
      <c r="A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</row>
    <row r="987" ht="15.75" customHeight="1">
      <c r="A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</row>
    <row r="988" ht="15.75" customHeight="1">
      <c r="A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</row>
    <row r="989" ht="15.75" customHeight="1">
      <c r="A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</row>
    <row r="990" ht="15.75" customHeight="1">
      <c r="A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</row>
    <row r="991" ht="15.75" customHeight="1">
      <c r="A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</row>
    <row r="992" ht="15.75" customHeight="1">
      <c r="A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</row>
    <row r="993" ht="15.75" customHeight="1">
      <c r="A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</row>
    <row r="994" ht="15.75" customHeight="1">
      <c r="A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</row>
    <row r="995" ht="15.75" customHeight="1">
      <c r="A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</row>
    <row r="996" ht="15.75" customHeight="1">
      <c r="A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</row>
    <row r="997" ht="15.75" customHeight="1">
      <c r="A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</row>
    <row r="998" ht="15.75" customHeight="1">
      <c r="A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</row>
    <row r="999" ht="15.75" customHeight="1">
      <c r="A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</row>
    <row r="1000" ht="15.75" customHeight="1">
      <c r="A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</row>
  </sheetData>
  <mergeCells count="6">
    <mergeCell ref="R1:T1"/>
    <mergeCell ref="C2:G2"/>
    <mergeCell ref="R2:T2"/>
    <mergeCell ref="R3:T3"/>
    <mergeCell ref="A4:P4"/>
    <mergeCell ref="Q4:U4"/>
  </mergeCells>
  <conditionalFormatting sqref="E6:N1000 O6:O1000">
    <cfRule type="cellIs" dxfId="0" priority="1" operator="equal">
      <formula>"L"</formula>
    </cfRule>
  </conditionalFormatting>
  <conditionalFormatting sqref="E6:N1000 O6:O1000">
    <cfRule type="cellIs" dxfId="1" priority="2" operator="equal">
      <formula>"M"</formula>
    </cfRule>
  </conditionalFormatting>
  <conditionalFormatting sqref="E6:N1000 O6:O1000">
    <cfRule type="cellIs" dxfId="2" priority="3" operator="equal">
      <formula>"H"</formula>
    </cfRule>
  </conditionalFormatting>
  <conditionalFormatting sqref="N6:N1000">
    <cfRule type="cellIs" dxfId="0" priority="4" operator="equal">
      <formula>"L"</formula>
    </cfRule>
  </conditionalFormatting>
  <conditionalFormatting sqref="U1:U1000">
    <cfRule type="cellIs" dxfId="3" priority="5" operator="between">
      <formula>"Not Started"</formula>
      <formula>"No Action Plan"</formula>
    </cfRule>
  </conditionalFormatting>
  <conditionalFormatting sqref="U1:U1000">
    <cfRule type="cellIs" dxfId="1" priority="6" operator="equal">
      <formula>"In Progress"</formula>
    </cfRule>
  </conditionalFormatting>
  <conditionalFormatting sqref="U1:U1000">
    <cfRule type="cellIs" dxfId="4" priority="7" operator="equal">
      <formula>"Impraticable"</formula>
    </cfRule>
  </conditionalFormatting>
  <conditionalFormatting sqref="U1:U1000">
    <cfRule type="cellIs" dxfId="5" priority="8" operator="equal">
      <formula>"Concluded"</formula>
    </cfRule>
  </conditionalFormatting>
  <printOptions/>
  <pageMargins bottom="0.75" footer="0.0" header="0.0" left="0.25" right="0.25" top="0.75"/>
  <pageSetup paperSize="9" orientation="portrait"/>
  <drawing r:id="rId1"/>
</worksheet>
</file>